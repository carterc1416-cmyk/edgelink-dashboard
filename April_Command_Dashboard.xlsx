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COMMAND CENTER" sheetId="1" state="visible" r:id="rId3"/>
    <sheet name="📋 SCORECARD" sheetId="2" state="visible" r:id="rId4"/>
    <sheet name="🏆 RANKINGS" sheetId="3" state="visible" r:id="rId5"/>
    <sheet name="📥 RAW TARGETS" sheetId="4" state="visible" r:id="rId6"/>
    <sheet name="📖 HOW TO USE" sheetId="5" state="visible" r:id="rId7"/>
    <sheet name="👥 STAFF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<sst xmlns="http://schemas.openxmlformats.org/spreadsheetml/2006/main" count="1698" uniqueCount="567">
  <si>
    <t xml:space="preserve">🔥  EDGE LINK COMMAND DASHBOARD  |  APRIL 2026  |  ⬆️ ALL TARGETS +10%</t>
  </si>
  <si>
    <t xml:space="preserve">Frontline Director Command Center  ·  Jim Lane – Edgelink Inc  ·  34 Stores</t>
  </si>
  <si>
    <t xml:space="preserve">📊  DIRECTOR OVERVIEW  —  APRIL 2026 TARGETS</t>
  </si>
  <si>
    <t xml:space="preserve">🏆 TOTAL BOXES
(PBB Target)</t>
  </si>
  <si>
    <t xml:space="preserve">📲 BTS TARGET</t>
  </si>
  <si>
    <t xml:space="preserve">📶 HSI TARGET</t>
  </si>
  <si>
    <t xml:space="preserve">🔄 VOICE TARGET</t>
  </si>
  <si>
    <t xml:space="preserve">💜 MAGENTA TARGET</t>
  </si>
  <si>
    <t xml:space="preserve"># STORES</t>
  </si>
  <si>
    <t xml:space="preserve">🟢 ON TRACK</t>
  </si>
  <si>
    <t xml:space="preserve">🔴 NEEDS ACTION</t>
  </si>
  <si>
    <t xml:space="preserve">📈  STORE PERFORMANCE SUMMARY  —  PBB RANKING</t>
  </si>
  <si>
    <t xml:space="preserve">RK</t>
  </si>
  <si>
    <t xml:space="preserve">STORE</t>
  </si>
  <si>
    <t xml:space="preserve">REGION</t>
  </si>
  <si>
    <t xml:space="preserve">PBB TGT</t>
  </si>
  <si>
    <t xml:space="preserve">PBB ACT</t>
  </si>
  <si>
    <t xml:space="preserve">PBB GAP</t>
  </si>
  <si>
    <t xml:space="preserve">% TO GOAL</t>
  </si>
  <si>
    <t xml:space="preserve">BTS TGT</t>
  </si>
  <si>
    <t xml:space="preserve">BTS ACT</t>
  </si>
  <si>
    <t xml:space="preserve">📋  STORE SCORECARD  |  EDGE LINK INC  |  APRIL 2026  |  34 STORES  |  ⬆️ TARGETS +10%</t>
  </si>
  <si>
    <t xml:space="preserve">STORE NAME</t>
  </si>
  <si>
    <t xml:space="preserve">🏆 PBB (TOTAL BOXES)</t>
  </si>
  <si>
    <t xml:space="preserve">📲 BTS (TABLETS)</t>
  </si>
  <si>
    <t xml:space="preserve">📶 HSI (HINT)</t>
  </si>
  <si>
    <t xml:space="preserve">🔊 VOICE ACTS</t>
  </si>
  <si>
    <t xml:space="preserve">💜 MAGENTA/MIMS</t>
  </si>
  <si>
    <t xml:space="preserve">OVERALL
%</t>
  </si>
  <si>
    <t xml:space="preserve">⚠️  ALERT FLAGS</t>
  </si>
  <si>
    <t xml:space="preserve">TARGET</t>
  </si>
  <si>
    <t xml:space="preserve">ACTUAL</t>
  </si>
  <si>
    <t xml:space="preserve">GAP</t>
  </si>
  <si>
    <t xml:space="preserve">STATUS</t>
  </si>
  <si>
    <t xml:space="preserve">ALERT FLAGS</t>
  </si>
  <si>
    <t xml:space="preserve">TEAM (Week of 3/30)</t>
  </si>
  <si>
    <t xml:space="preserve">Kelley Sq – Kelley Sq Worcester, MA</t>
  </si>
  <si>
    <t xml:space="preserve">NE</t>
  </si>
  <si>
    <t xml:space="preserve">Mariah Gonzalez, Richard Foster, Alex Correa, Juliana Arruda</t>
  </si>
  <si>
    <t xml:space="preserve">Providence Pl – Providence, RI</t>
  </si>
  <si>
    <t xml:space="preserve">Abigail Baez, Kadisha Rivera, Brandon Mitchell, Juliana Arruda, Jason Link Jr</t>
  </si>
  <si>
    <t xml:space="preserve">Hartford Ave – Providence, RI</t>
  </si>
  <si>
    <t xml:space="preserve">Oscar Mendez Muniz, Yanna Soriano, Milton Vega</t>
  </si>
  <si>
    <t xml:space="preserve">Holyoke Street – Holyoke Street Holyoke, MA</t>
  </si>
  <si>
    <t xml:space="preserve">Carlos Davila, Hector Torres, Armando Perez</t>
  </si>
  <si>
    <t xml:space="preserve">Granite St – Braintree, MA</t>
  </si>
  <si>
    <t xml:space="preserve">Yarele Soler, Abel Burgos, Amina Fellah, Lucmila Lopes</t>
  </si>
  <si>
    <t xml:space="preserve">S Frontage – New London, CT</t>
  </si>
  <si>
    <t xml:space="preserve">James Garcia, Josh Landry, Rashia Oates, Shanelle Sanchez, Gilberto Alvarez</t>
  </si>
  <si>
    <t xml:space="preserve">Geyer Springs – Little Rock, AR</t>
  </si>
  <si>
    <t xml:space="preserve">CENTRAL</t>
  </si>
  <si>
    <t xml:space="preserve">Melissa Sloane, Mariel Mcallister, Delbert Phillips</t>
  </si>
  <si>
    <t xml:space="preserve">E Magnolia – Knoxville, TN</t>
  </si>
  <si>
    <t xml:space="preserve">Brenda Serna, Karmina Mendoza, Kevin Martinez, Jasmine Griffin</t>
  </si>
  <si>
    <t xml:space="preserve">N Broadway – Knoxville, TN</t>
  </si>
  <si>
    <t xml:space="preserve">Shelena Hamilton, Franchesca Rader, Christopher Marion, April Mayorga</t>
  </si>
  <si>
    <t xml:space="preserve">Iyannough Rd., – Hyannis, MA</t>
  </si>
  <si>
    <t xml:space="preserve">Maliek Feare, Jason Link Jr, Vernard Ashe</t>
  </si>
  <si>
    <t xml:space="preserve">Coggeshall St – New Bedford, MA</t>
  </si>
  <si>
    <t xml:space="preserve">Napoleoa Dacruz, Djeison Barbosa, Khrystyne Quasney</t>
  </si>
  <si>
    <t xml:space="preserve">Western Ave – Lynn, MA</t>
  </si>
  <si>
    <t xml:space="preserve">Stephanie Melo, Abel Burgos, Amina Fellah</t>
  </si>
  <si>
    <t xml:space="preserve">Shallowford Rd – Chattanooga, TN</t>
  </si>
  <si>
    <t xml:space="preserve">SE</t>
  </si>
  <si>
    <t xml:space="preserve">Jermaine Underwood, Cece Williamson, Angela Westfield, Marquesha Jones</t>
  </si>
  <si>
    <t xml:space="preserve">Broad St – Central Falls, RI</t>
  </si>
  <si>
    <t xml:space="preserve">Derek Tejeda, Lori Ruiz, Djeison Barbosa</t>
  </si>
  <si>
    <t xml:space="preserve">Rockdale Ave – New Bedford, MA</t>
  </si>
  <si>
    <t xml:space="preserve">Sabrina Morales, Ana Marrero</t>
  </si>
  <si>
    <t xml:space="preserve">Buckland Hills – Manchester, CT</t>
  </si>
  <si>
    <t xml:space="preserve">Nereida Rodriguez, Gamaly Gonzalez, Alishabeth Gonzalez</t>
  </si>
  <si>
    <t xml:space="preserve">Warren Ave – East Providence, RI</t>
  </si>
  <si>
    <t xml:space="preserve">Saimary Hernandez, Jose Monroy, Isiaish Valenzuela</t>
  </si>
  <si>
    <t xml:space="preserve">Bald Hill – Warwick, RI</t>
  </si>
  <si>
    <t xml:space="preserve">Allia Abodaher, Izabella Regino</t>
  </si>
  <si>
    <t xml:space="preserve">Reservoir Ave – Cranston, RI</t>
  </si>
  <si>
    <t xml:space="preserve">—</t>
  </si>
  <si>
    <t xml:space="preserve">State St – Springfield, MA</t>
  </si>
  <si>
    <t xml:space="preserve">Alma Cedeno, Jessica Retamar, Divante Lacy</t>
  </si>
  <si>
    <t xml:space="preserve">Broadway Newport – Broadway Newport, RI</t>
  </si>
  <si>
    <t xml:space="preserve">Exchange St – Chicopee, MA</t>
  </si>
  <si>
    <t xml:space="preserve">Isaiah Caliz, Jazmine Heredia</t>
  </si>
  <si>
    <t xml:space="preserve">William Canning – Fall River, MA</t>
  </si>
  <si>
    <t xml:space="preserve">Justin Moniz, Khrystyne Quasney</t>
  </si>
  <si>
    <t xml:space="preserve">Main St – Norwich, CT</t>
  </si>
  <si>
    <t xml:space="preserve">James Garcia, Brendaliz Oliver Rodriguez, Josh Landry, Rashia Oates</t>
  </si>
  <si>
    <t xml:space="preserve">Locust St – Springfield, MA</t>
  </si>
  <si>
    <t xml:space="preserve">Melissa Sloane, Nicki Johnson, April Mayorga</t>
  </si>
  <si>
    <t xml:space="preserve">Western Ave – Knoxville, TN</t>
  </si>
  <si>
    <t xml:space="preserve">Isaiah Caliz, Alicia Montero</t>
  </si>
  <si>
    <t xml:space="preserve">Keith St – Cleveland, TN</t>
  </si>
  <si>
    <t xml:space="preserve">Angela Westfield, Mirtha Melendez, Nathan Millsaps</t>
  </si>
  <si>
    <t xml:space="preserve">Broad St – Providence, RI</t>
  </si>
  <si>
    <t xml:space="preserve">Hector Marrero, Jensy Rodriguez, Keysha Betancourt</t>
  </si>
  <si>
    <t xml:space="preserve">Colonel Glenn – Little Rock, AR</t>
  </si>
  <si>
    <t xml:space="preserve">Brenda Serna, Kevin Martinez, Jasmine Griffin</t>
  </si>
  <si>
    <t xml:space="preserve">Douglas Ave – Providence, RI</t>
  </si>
  <si>
    <t xml:space="preserve">Kadisha Rivera, Handriel Marmol, Jason Link Jr</t>
  </si>
  <si>
    <t xml:space="preserve">W Market – Johnson City, TN</t>
  </si>
  <si>
    <t xml:space="preserve">Charisma Heggie, Melicia Angel, Samantha Cuevas, Shanna Speed</t>
  </si>
  <si>
    <t xml:space="preserve">Newport Ave – Rumford, RI</t>
  </si>
  <si>
    <t xml:space="preserve">Oswaldo Aranda, Brandon Mitchell, Juliana Arruda, Keysha Betancourt, Cleoty Morales</t>
  </si>
  <si>
    <t xml:space="preserve">W Andrew – Morristown, TN</t>
  </si>
  <si>
    <t xml:space="preserve">Ashton Diamond, Franchesca Rader, Andrew Serpa</t>
  </si>
  <si>
    <t xml:space="preserve">Tiogue Ave – Coventry, RI</t>
  </si>
  <si>
    <t xml:space="preserve">TOTALS</t>
  </si>
  <si>
    <t xml:space="preserve">🏆  RANKINGS  |  EDGE LINK INC  |  APRIL 2026  (Updates automatically as actuals are entered)</t>
  </si>
  <si>
    <t xml:space="preserve">🥇  TOP 10 STORES — PBB % TO GOAL</t>
  </si>
  <si>
    <t xml:space="preserve">🔴  BOTTOM 10 STORES — NEED ATTENTION</t>
  </si>
  <si>
    <t xml:space="preserve">📲  TOP 10 — BTS (TABLETS) % TO GOAL</t>
  </si>
  <si>
    <t xml:space="preserve">📶  TOP 10 — HSI (HINT) % TO GOAL</t>
  </si>
  <si>
    <t xml:space="preserve">HSI TGT</t>
  </si>
  <si>
    <t xml:space="preserve">HSI ACT</t>
  </si>
  <si>
    <t xml:space="preserve">📥  RAW TARGET DATA  |  APRIL 2026  |  SOURCE: April_Target.xlsx</t>
  </si>
  <si>
    <t xml:space="preserve">Store</t>
  </si>
  <si>
    <t xml:space="preserve">Loc ID</t>
  </si>
  <si>
    <t xml:space="preserve">Voice Acts</t>
  </si>
  <si>
    <t xml:space="preserve">Voice Reacts</t>
  </si>
  <si>
    <t xml:space="preserve">BTS Acts</t>
  </si>
  <si>
    <t xml:space="preserve">BTS Reacts</t>
  </si>
  <si>
    <t xml:space="preserve">HSI Acts</t>
  </si>
  <si>
    <t xml:space="preserve">HSI Reacts</t>
  </si>
  <si>
    <t xml:space="preserve">Magenta/MIM</t>
  </si>
  <si>
    <t xml:space="preserve">Total PBB</t>
  </si>
  <si>
    <t xml:space="preserve">Bonus Target</t>
  </si>
  <si>
    <t xml:space="preserve">Region</t>
  </si>
  <si>
    <t xml:space="preserve">Market</t>
  </si>
  <si>
    <t xml:space="preserve">Metro Central</t>
  </si>
  <si>
    <t xml:space="preserve">Metro Knoxville/Johnson City</t>
  </si>
  <si>
    <t xml:space="preserve">Metro Little Rock/Fayetteville</t>
  </si>
  <si>
    <t xml:space="preserve">Metro Northeast</t>
  </si>
  <si>
    <t xml:space="preserve">Metro CT Hartford</t>
  </si>
  <si>
    <t xml:space="preserve">Metro N Shore MA</t>
  </si>
  <si>
    <t xml:space="preserve">Metro Southeastern MA</t>
  </si>
  <si>
    <t xml:space="preserve">Metro RI Providence</t>
  </si>
  <si>
    <t xml:space="preserve">Metro Southeast</t>
  </si>
  <si>
    <t xml:space="preserve">Metro Atlanta Northwest</t>
  </si>
  <si>
    <t xml:space="preserve">Metro Springfield MA/Albany</t>
  </si>
  <si>
    <t xml:space="preserve">Metro MA Worcester/Springfield</t>
  </si>
  <si>
    <t xml:space="preserve">Metro Brockton-Weymouth</t>
  </si>
  <si>
    <t xml:space="preserve">📖  HOW TO USE THIS DASHBOARD  |  EDGE LINK COMMAND CENTER</t>
  </si>
  <si>
    <t xml:space="preserve">🎯</t>
  </si>
  <si>
    <t xml:space="preserve">STEP 1 — ENTER ACTUALS</t>
  </si>
  <si>
    <t xml:space="preserve">Go to the 📋 SCORECARD sheet daily</t>
  </si>
  <si>
    <t xml:space="preserve">Find the orange/gold cells (ACTUAL columns)</t>
  </si>
  <si>
    <t xml:space="preserve">These are the only cells you need to fill in</t>
  </si>
  <si>
    <t xml:space="preserve">Enter today's actual numbers for each store</t>
  </si>
  <si>
    <t xml:space="preserve">PBB Actual → Column E | BTS Actual → Column I | HSI Actual → Column M</t>
  </si>
  <si>
    <t xml:space="preserve">📊</t>
  </si>
  <si>
    <t xml:space="preserve">STEP 2 — READ THE STATUS</t>
  </si>
  <si>
    <t xml:space="preserve">Status updates automatically:</t>
  </si>
  <si>
    <t xml:space="preserve">✅ ON TRACK = ≥90% of target</t>
  </si>
  <si>
    <t xml:space="preserve">⚠️ WATCH = 70–89% of target</t>
  </si>
  <si>
    <t xml:space="preserve">Needs a coaching conversation</t>
  </si>
  <si>
    <t xml:space="preserve">🚨 ALERT = &lt;70% of target</t>
  </si>
  <si>
    <t xml:space="preserve">Immediate action required</t>
  </si>
  <si>
    <t xml:space="preserve">⚠️</t>
  </si>
  <si>
    <t xml:space="preserve">STEP 3 — READ THE ALERTS</t>
  </si>
  <si>
    <t xml:space="preserve">Check the ALERT FLAGS column (Y) on the scorecard</t>
  </si>
  <si>
    <t xml:space="preserve">⚠️ Volume w/o BTS = High boxes, low tablets</t>
  </si>
  <si>
    <t xml:space="preserve">Coach the full-solution sell</t>
  </si>
  <si>
    <t xml:space="preserve">🚨 ZERO HSI = No HINT activations</t>
  </si>
  <si>
    <t xml:space="preserve">Immediate coaching on WiFi calling pitch</t>
  </si>
  <si>
    <t xml:space="preserve">🚨 ZERO BTS = No BTS activations</t>
  </si>
  <si>
    <t xml:space="preserve">Coach tablet attachment</t>
  </si>
  <si>
    <t xml:space="preserve">⚠️ Weak MIMS = Low Magenta in Metro rate</t>
  </si>
  <si>
    <t xml:space="preserve">Coach account maximization</t>
  </si>
  <si>
    <t xml:space="preserve">🏆</t>
  </si>
  <si>
    <t xml:space="preserve">STEP 4 — USE THE RANKINGS</t>
  </si>
  <si>
    <t xml:space="preserve">Go to 🏆 RANKINGS sheet to see</t>
  </si>
  <si>
    <t xml:space="preserve">Top 10 stores across all key metrics</t>
  </si>
  <si>
    <t xml:space="preserve">Use winners to replicate behavior</t>
  </si>
  <si>
    <t xml:space="preserve">Bottom 10 stores needing attention</t>
  </si>
  <si>
    <t xml:space="preserve">These are your coaching priorities</t>
  </si>
  <si>
    <t xml:space="preserve">🎤</t>
  </si>
  <si>
    <t xml:space="preserve">STEP 5 — LEAD YOUR CALLS FROM THIS</t>
  </si>
  <si>
    <t xml:space="preserve">Pull from Command Center (🎯 sheet)</t>
  </si>
  <si>
    <t xml:space="preserve">Use Director Overview totals as your opening</t>
  </si>
  <si>
    <t xml:space="preserve">'We are at X boxes vs Y goal as a company'</t>
  </si>
  <si>
    <t xml:space="preserve">Call out top &amp; bottom performers by name</t>
  </si>
  <si>
    <t xml:space="preserve">Accountability drives performance</t>
  </si>
  <si>
    <t xml:space="preserve">Use Alert Flags as your coaching script</t>
  </si>
  <si>
    <t xml:space="preserve">'We have a full-solution problem at these 3 stores'</t>
  </si>
  <si>
    <t xml:space="preserve">🔑</t>
  </si>
  <si>
    <t xml:space="preserve">KEY METRICS EXPLAINED</t>
  </si>
  <si>
    <t xml:space="preserve">PBB = Total Gross Prepaid Activations</t>
  </si>
  <si>
    <t xml:space="preserve">Your primary volume metric</t>
  </si>
  <si>
    <t xml:space="preserve">BTS = Tablets activated</t>
  </si>
  <si>
    <t xml:space="preserve">Key attachment / solution metric</t>
  </si>
  <si>
    <t xml:space="preserve">HSI = Home Internet (HINT)</t>
  </si>
  <si>
    <t xml:space="preserve">Highest-value attach</t>
  </si>
  <si>
    <t xml:space="preserve">Voice = Voice line activations</t>
  </si>
  <si>
    <t xml:space="preserve">Base business driver</t>
  </si>
  <si>
    <t xml:space="preserve">MIM = Magenta in Metro</t>
  </si>
  <si>
    <t xml:space="preserve">Premium tier conversion</t>
  </si>
  <si>
    <t xml:space="preserve">👥  STAFFING SCHEDULE  |  WEEK OF 3/30 – 4/5/2026  |  EDGE LINK INC  |  34 STORES</t>
  </si>
  <si>
    <t xml:space="preserve">  🟢 Working    ⬜ OFF    🟡 Solo Coverage    🔥 Wed 4/1 = APRIL LAUNCH DAY    ⚠️ 75 stores have solo-coverage days this week    🚨 6 unstaffed day-slots found!</t>
  </si>
  <si>
    <t xml:space="preserve">#</t>
  </si>
  <si>
    <t xml:space="preserve">EMPLOYEE</t>
  </si>
  <si>
    <t xml:space="preserve">MON 3/30</t>
  </si>
  <si>
    <t xml:space="preserve">TUE 3/31</t>
  </si>
  <si>
    <t xml:space="preserve">WED 4/1 🔥</t>
  </si>
  <si>
    <t xml:space="preserve">THU 4/2</t>
  </si>
  <si>
    <t xml:space="preserve">FRI 4/3</t>
  </si>
  <si>
    <t xml:space="preserve">SAT 4/4</t>
  </si>
  <si>
    <t xml:space="preserve">SUN 4/5</t>
  </si>
  <si>
    <t xml:space="preserve">TOTAL HRS</t>
  </si>
  <si>
    <t xml:space="preserve">HEAD
COUNT</t>
  </si>
  <si>
    <t xml:space="preserve">SOLO
DAYS</t>
  </si>
  <si>
    <t xml:space="preserve">  Kelley Sq – Kelley Sq Worcester, MA  [NE]</t>
  </si>
  <si>
    <t xml:space="preserve">2 reps</t>
  </si>
  <si>
    <t xml:space="preserve">3 reps</t>
  </si>
  <si>
    <t xml:space="preserve">4 reps</t>
  </si>
  <si>
    <t xml:space="preserve">✅ Covered</t>
  </si>
  <si>
    <t xml:space="preserve">Mariah Gonzalez</t>
  </si>
  <si>
    <t xml:space="preserve">AQX90020</t>
  </si>
  <si>
    <t xml:space="preserve">OFF</t>
  </si>
  <si>
    <t xml:space="preserve">11:00-06:00</t>
  </si>
  <si>
    <t xml:space="preserve">09:45-06:00</t>
  </si>
  <si>
    <t xml:space="preserve">12:00-05:00</t>
  </si>
  <si>
    <t xml:space="preserve">11:00-03:00</t>
  </si>
  <si>
    <t xml:space="preserve">24 H 14 M</t>
  </si>
  <si>
    <t xml:space="preserve">Richard Foster</t>
  </si>
  <si>
    <t xml:space="preserve">OXY97908</t>
  </si>
  <si>
    <t xml:space="preserve">09:45-07:00</t>
  </si>
  <si>
    <t xml:space="preserve">11:00-07:00</t>
  </si>
  <si>
    <t xml:space="preserve">12:00-07:00</t>
  </si>
  <si>
    <t xml:space="preserve">40 H 29 M</t>
  </si>
  <si>
    <t xml:space="preserve">Alex Correa</t>
  </si>
  <si>
    <t xml:space="preserve">RMN54941</t>
  </si>
  <si>
    <t xml:space="preserve">09:45-05:00</t>
  </si>
  <si>
    <t xml:space="preserve">01:00-06:00</t>
  </si>
  <si>
    <t xml:space="preserve">44 H 44 M</t>
  </si>
  <si>
    <t xml:space="preserve">Juliana Arruda</t>
  </si>
  <si>
    <t xml:space="preserve">VIT47142</t>
  </si>
  <si>
    <t xml:space="preserve">11:00-05:00</t>
  </si>
  <si>
    <t xml:space="preserve">22 H 0 M</t>
  </si>
  <si>
    <t xml:space="preserve">  Providence Pl – Providence, RI  [NE]</t>
  </si>
  <si>
    <t xml:space="preserve">0 reps</t>
  </si>
  <si>
    <t xml:space="preserve">🚨 1 day(s) unstaffed</t>
  </si>
  <si>
    <t xml:space="preserve">Abigail Baez</t>
  </si>
  <si>
    <t xml:space="preserve">OLP39593</t>
  </si>
  <si>
    <t xml:space="preserve">10:45-04:00</t>
  </si>
  <si>
    <t xml:space="preserve">10:45-06:00</t>
  </si>
  <si>
    <t xml:space="preserve">09:45-04:00</t>
  </si>
  <si>
    <t xml:space="preserve">26 H 0 M</t>
  </si>
  <si>
    <t xml:space="preserve">Kadisha Rivera</t>
  </si>
  <si>
    <t xml:space="preserve">PEJ56713</t>
  </si>
  <si>
    <t xml:space="preserve">12:00-09:00</t>
  </si>
  <si>
    <t xml:space="preserve">12:00-08:00</t>
  </si>
  <si>
    <t xml:space="preserve">31 H 30 M</t>
  </si>
  <si>
    <t xml:space="preserve">Brandon Mitchell</t>
  </si>
  <si>
    <t xml:space="preserve">QQO06195</t>
  </si>
  <si>
    <t xml:space="preserve">01:00-08:00</t>
  </si>
  <si>
    <t xml:space="preserve">03:00-09:00</t>
  </si>
  <si>
    <t xml:space="preserve">20 H 0 M</t>
  </si>
  <si>
    <t xml:space="preserve">14 H 0 M</t>
  </si>
  <si>
    <t xml:space="preserve">Jason Link Jr</t>
  </si>
  <si>
    <t xml:space="preserve">YSQ12440</t>
  </si>
  <si>
    <t xml:space="preserve">01:00-09:00</t>
  </si>
  <si>
    <t xml:space="preserve">8 H 0 M</t>
  </si>
  <si>
    <t xml:space="preserve">  Hartford Ave – Providence, RI  [NE]</t>
  </si>
  <si>
    <t xml:space="preserve">1 rep</t>
  </si>
  <si>
    <t xml:space="preserve">⚠️ 1 solo day(s)</t>
  </si>
  <si>
    <t xml:space="preserve">Oscar Mendez Muniz</t>
  </si>
  <si>
    <t xml:space="preserve">IAS17194</t>
  </si>
  <si>
    <t xml:space="preserve">01:00-07:00</t>
  </si>
  <si>
    <t xml:space="preserve">33 H 44 M</t>
  </si>
  <si>
    <t xml:space="preserve">Yanna Soriano</t>
  </si>
  <si>
    <t xml:space="preserve">NRG89467</t>
  </si>
  <si>
    <t xml:space="preserve">10:45-05:00</t>
  </si>
  <si>
    <t xml:space="preserve">42 H 0 M</t>
  </si>
  <si>
    <t xml:space="preserve">Milton Vega</t>
  </si>
  <si>
    <t xml:space="preserve">XYL01111</t>
  </si>
  <si>
    <t xml:space="preserve">09:45-01:00</t>
  </si>
  <si>
    <t xml:space="preserve">35 H 14 M</t>
  </si>
  <si>
    <t xml:space="preserve">  Holyoke Street – Holyoke Street Holyoke, MA  [NE]</t>
  </si>
  <si>
    <t xml:space="preserve">Carlos Davila</t>
  </si>
  <si>
    <t xml:space="preserve">KOW08275</t>
  </si>
  <si>
    <t xml:space="preserve">11:00-08:00</t>
  </si>
  <si>
    <t xml:space="preserve">10:00-07:00</t>
  </si>
  <si>
    <t xml:space="preserve">11:00-09:00</t>
  </si>
  <si>
    <t xml:space="preserve">44 H 0 M</t>
  </si>
  <si>
    <t xml:space="preserve">Hector Torres</t>
  </si>
  <si>
    <t xml:space="preserve">KWV73873</t>
  </si>
  <si>
    <t xml:space="preserve">10:00-08:00</t>
  </si>
  <si>
    <t xml:space="preserve">03:00-08:00</t>
  </si>
  <si>
    <t xml:space="preserve">Armando Perez</t>
  </si>
  <si>
    <t xml:space="preserve">ZIW70174</t>
  </si>
  <si>
    <t xml:space="preserve">10:00-05:00</t>
  </si>
  <si>
    <t xml:space="preserve">  Granite St – Braintree, MA  [NE]</t>
  </si>
  <si>
    <t xml:space="preserve">Yarele Soler</t>
  </si>
  <si>
    <t xml:space="preserve">IFZ56368</t>
  </si>
  <si>
    <t xml:space="preserve">35 H 0 M</t>
  </si>
  <si>
    <t xml:space="preserve">Abel Burgos</t>
  </si>
  <si>
    <t xml:space="preserve">NIV04273</t>
  </si>
  <si>
    <t xml:space="preserve">09:45-09:00</t>
  </si>
  <si>
    <t xml:space="preserve">19 H 14 M</t>
  </si>
  <si>
    <t xml:space="preserve">Amina Fellah</t>
  </si>
  <si>
    <t xml:space="preserve">PNL78523</t>
  </si>
  <si>
    <t xml:space="preserve">09:45-08:00</t>
  </si>
  <si>
    <t xml:space="preserve">20 H 30 M</t>
  </si>
  <si>
    <t xml:space="preserve">Lucmila Lopes</t>
  </si>
  <si>
    <t xml:space="preserve">RLR38159</t>
  </si>
  <si>
    <t xml:space="preserve">39 H 0 M</t>
  </si>
  <si>
    <t xml:space="preserve">  S Frontage – New London, CT  [NE]</t>
  </si>
  <si>
    <t xml:space="preserve">James Garcia</t>
  </si>
  <si>
    <t xml:space="preserve">BPW93549</t>
  </si>
  <si>
    <t xml:space="preserve">7 H 0 M</t>
  </si>
  <si>
    <t xml:space="preserve">Josh Landry</t>
  </si>
  <si>
    <t xml:space="preserve">KWP74551</t>
  </si>
  <si>
    <t xml:space="preserve">09:30-05:00</t>
  </si>
  <si>
    <t xml:space="preserve">01:00-07:15</t>
  </si>
  <si>
    <t xml:space="preserve">09:30-03:00</t>
  </si>
  <si>
    <t xml:space="preserve">25 H 30 M</t>
  </si>
  <si>
    <t xml:space="preserve">Rashia Oates</t>
  </si>
  <si>
    <t xml:space="preserve">NAW86731</t>
  </si>
  <si>
    <t xml:space="preserve">09:30-07:00</t>
  </si>
  <si>
    <t xml:space="preserve">22 H 29 M</t>
  </si>
  <si>
    <t xml:space="preserve">Shanelle Sanchez</t>
  </si>
  <si>
    <t xml:space="preserve">QXM09669</t>
  </si>
  <si>
    <t xml:space="preserve">09:45-05:30</t>
  </si>
  <si>
    <t xml:space="preserve">15 H 29 M</t>
  </si>
  <si>
    <t xml:space="preserve">Gilberto Alvarez</t>
  </si>
  <si>
    <t xml:space="preserve">UAO36325</t>
  </si>
  <si>
    <t xml:space="preserve">11:00-07:15</t>
  </si>
  <si>
    <t xml:space="preserve">09:45-07:15</t>
  </si>
  <si>
    <t xml:space="preserve">39 H 30 M</t>
  </si>
  <si>
    <t xml:space="preserve">  E Magnolia – Knoxville, TN  [CENTRAL]</t>
  </si>
  <si>
    <t xml:space="preserve">Melissa Sloane</t>
  </si>
  <si>
    <t xml:space="preserve">BZM08410</t>
  </si>
  <si>
    <t xml:space="preserve">09:30-06:00</t>
  </si>
  <si>
    <t xml:space="preserve">10:30-05:00</t>
  </si>
  <si>
    <t xml:space="preserve">33 H 0 M</t>
  </si>
  <si>
    <t xml:space="preserve">Mariel Mcallister</t>
  </si>
  <si>
    <t xml:space="preserve">CSO68288</t>
  </si>
  <si>
    <t xml:space="preserve">45 H 29 M</t>
  </si>
  <si>
    <t xml:space="preserve">Delbert Phillips</t>
  </si>
  <si>
    <t xml:space="preserve">DWE43847</t>
  </si>
  <si>
    <t xml:space="preserve">29 H 0 M</t>
  </si>
  <si>
    <t xml:space="preserve">  Geyer Springs – Little Rock, AR  [CENTRAL]</t>
  </si>
  <si>
    <t xml:space="preserve">Brenda Serna</t>
  </si>
  <si>
    <t xml:space="preserve">CYW45301</t>
  </si>
  <si>
    <t xml:space="preserve">Karmina Mendoza</t>
  </si>
  <si>
    <t xml:space="preserve">IJA97207</t>
  </si>
  <si>
    <t xml:space="preserve">09:30-02:30</t>
  </si>
  <si>
    <t xml:space="preserve">43 H 0 M</t>
  </si>
  <si>
    <t xml:space="preserve">Kevin Martinez</t>
  </si>
  <si>
    <t xml:space="preserve">ORK31397</t>
  </si>
  <si>
    <t xml:space="preserve">39 H 44 M</t>
  </si>
  <si>
    <t xml:space="preserve">Jasmine Griffin</t>
  </si>
  <si>
    <t xml:space="preserve">ZHW99574</t>
  </si>
  <si>
    <t xml:space="preserve">09:30-02:00</t>
  </si>
  <si>
    <t xml:space="preserve">13 H 0 M</t>
  </si>
  <si>
    <t xml:space="preserve">  N Broadway – Knoxville, TN  [CENTRAL]</t>
  </si>
  <si>
    <t xml:space="preserve">Shelena Hamilton</t>
  </si>
  <si>
    <t xml:space="preserve">BWP66480</t>
  </si>
  <si>
    <t xml:space="preserve">43 H 29 M</t>
  </si>
  <si>
    <t xml:space="preserve">Franchesca Rader</t>
  </si>
  <si>
    <t xml:space="preserve">LHX36141</t>
  </si>
  <si>
    <t xml:space="preserve">17 H 29 M</t>
  </si>
  <si>
    <t xml:space="preserve">Christopher Marion</t>
  </si>
  <si>
    <t xml:space="preserve">VFE66579</t>
  </si>
  <si>
    <t xml:space="preserve">36 H 14 M</t>
  </si>
  <si>
    <t xml:space="preserve">April Mayorga</t>
  </si>
  <si>
    <t xml:space="preserve">ZYM14820</t>
  </si>
  <si>
    <t xml:space="preserve">10:30-07:00</t>
  </si>
  <si>
    <t xml:space="preserve">  Iyannough Rd., – Hyannis, MA  [NE]</t>
  </si>
  <si>
    <t xml:space="preserve">⚠️ 3 solo day(s)</t>
  </si>
  <si>
    <t xml:space="preserve">Maliek Feare</t>
  </si>
  <si>
    <t xml:space="preserve">DDX68207</t>
  </si>
  <si>
    <t xml:space="preserve">9 H 14 M</t>
  </si>
  <si>
    <t xml:space="preserve">Vernard Ashe</t>
  </si>
  <si>
    <t xml:space="preserve">ZFZ71226</t>
  </si>
  <si>
    <t xml:space="preserve">11:45-06:00</t>
  </si>
  <si>
    <t xml:space="preserve">45 H 30 M</t>
  </si>
  <si>
    <t xml:space="preserve">  Coggeshall St – New Bedford, MA  [NE]</t>
  </si>
  <si>
    <t xml:space="preserve">🚨 1 day(s) unstaffed  ⚠️ 5 solo day(s)</t>
  </si>
  <si>
    <t xml:space="preserve">Napoleoa Dacruz</t>
  </si>
  <si>
    <t xml:space="preserve">CLG74245</t>
  </si>
  <si>
    <t xml:space="preserve">09:30-05:30</t>
  </si>
  <si>
    <t xml:space="preserve">Djeison Barbosa</t>
  </si>
  <si>
    <t xml:space="preserve">NIK70124</t>
  </si>
  <si>
    <t xml:space="preserve">09:45-02:00</t>
  </si>
  <si>
    <t xml:space="preserve">4 H 15 M</t>
  </si>
  <si>
    <t xml:space="preserve">Khrystyne Quasney</t>
  </si>
  <si>
    <t xml:space="preserve">VPB31735</t>
  </si>
  <si>
    <t xml:space="preserve">9 H 30 M</t>
  </si>
  <si>
    <t xml:space="preserve">  Western Ave – Lynn, MA  [NE]</t>
  </si>
  <si>
    <t xml:space="preserve">⚠️ 7 solo day(s)</t>
  </si>
  <si>
    <t xml:space="preserve">Stephanie Melo</t>
  </si>
  <si>
    <t xml:space="preserve">HFO96739</t>
  </si>
  <si>
    <t xml:space="preserve">34 H 14 M</t>
  </si>
  <si>
    <t xml:space="preserve">18 H 29 M</t>
  </si>
  <si>
    <t xml:space="preserve">  Shallowford Rd – Chattanooga, TN  [SE]</t>
  </si>
  <si>
    <t xml:space="preserve">⚠️ 2 solo day(s)</t>
  </si>
  <si>
    <t xml:space="preserve">Jermaine Underwood</t>
  </si>
  <si>
    <t xml:space="preserve">KFE95893</t>
  </si>
  <si>
    <t xml:space="preserve">09:30-03:30</t>
  </si>
  <si>
    <t xml:space="preserve">Cece Williamson</t>
  </si>
  <si>
    <t xml:space="preserve">LPI48610</t>
  </si>
  <si>
    <t xml:space="preserve">Angela Westfield</t>
  </si>
  <si>
    <t xml:space="preserve">MMM94297</t>
  </si>
  <si>
    <t xml:space="preserve">6 H 14 M</t>
  </si>
  <si>
    <t xml:space="preserve">Marquesha Jones</t>
  </si>
  <si>
    <t xml:space="preserve">YGH62173</t>
  </si>
  <si>
    <t xml:space="preserve">37 H 29 M</t>
  </si>
  <si>
    <t xml:space="preserve">  Rockdale Ave – New Bedford, MA  [NE]</t>
  </si>
  <si>
    <t xml:space="preserve">Derek Tejeda</t>
  </si>
  <si>
    <t xml:space="preserve">CLB37831</t>
  </si>
  <si>
    <t xml:space="preserve">Lori Ruiz</t>
  </si>
  <si>
    <t xml:space="preserve">HHI23969</t>
  </si>
  <si>
    <t xml:space="preserve">09:45-06:45</t>
  </si>
  <si>
    <t xml:space="preserve">09:45-06:15</t>
  </si>
  <si>
    <t xml:space="preserve">10:00-03:00</t>
  </si>
  <si>
    <t xml:space="preserve">40 H 0 M</t>
  </si>
  <si>
    <t xml:space="preserve">23 H 45 M</t>
  </si>
  <si>
    <t xml:space="preserve">  Broad St – Central Falls, RI  [NE]</t>
  </si>
  <si>
    <t xml:space="preserve">⚠️ 4 solo day(s)</t>
  </si>
  <si>
    <t xml:space="preserve">Sabrina Morales</t>
  </si>
  <si>
    <t xml:space="preserve">KHP97059</t>
  </si>
  <si>
    <t xml:space="preserve">37 H 44 M</t>
  </si>
  <si>
    <t xml:space="preserve">Ana Marrero</t>
  </si>
  <si>
    <t xml:space="preserve">OZY90583</t>
  </si>
  <si>
    <t xml:space="preserve">  Buckland Hills – Manchester, CT  [NE]</t>
  </si>
  <si>
    <t xml:space="preserve">Nereida Rodriguez</t>
  </si>
  <si>
    <t xml:space="preserve">BEY39099</t>
  </si>
  <si>
    <t xml:space="preserve">12:30-08:00</t>
  </si>
  <si>
    <t xml:space="preserve">01:30-09:00</t>
  </si>
  <si>
    <t xml:space="preserve">37 H 30 M</t>
  </si>
  <si>
    <t xml:space="preserve">Gamaly Gonzalez</t>
  </si>
  <si>
    <t xml:space="preserve">RYL10527</t>
  </si>
  <si>
    <t xml:space="preserve">09:30-04:00</t>
  </si>
  <si>
    <t xml:space="preserve">02:00-09:00</t>
  </si>
  <si>
    <t xml:space="preserve">25 H 29 M</t>
  </si>
  <si>
    <t xml:space="preserve">Alishabeth Gonzalez</t>
  </si>
  <si>
    <t xml:space="preserve">WQA62252</t>
  </si>
  <si>
    <t xml:space="preserve">  Warren Ave – East Providence, RI  [NE]</t>
  </si>
  <si>
    <t xml:space="preserve">Saimary Hernandez</t>
  </si>
  <si>
    <t xml:space="preserve">JHQ79532</t>
  </si>
  <si>
    <t xml:space="preserve">09:30-02:15</t>
  </si>
  <si>
    <t xml:space="preserve">09:30-07:15</t>
  </si>
  <si>
    <t xml:space="preserve">Jose Monroy</t>
  </si>
  <si>
    <t xml:space="preserve">XOV57998</t>
  </si>
  <si>
    <t xml:space="preserve">30 H 15 M</t>
  </si>
  <si>
    <t xml:space="preserve">Isiaish Valenzuela</t>
  </si>
  <si>
    <t xml:space="preserve">YBT81977</t>
  </si>
  <si>
    <t xml:space="preserve">29 H 29 M</t>
  </si>
  <si>
    <t xml:space="preserve">  Bald Hill – Warwick, RI  [NE]</t>
  </si>
  <si>
    <t xml:space="preserve">Allia Abodaher</t>
  </si>
  <si>
    <t xml:space="preserve">DXP98939</t>
  </si>
  <si>
    <t xml:space="preserve">10:30-06:00</t>
  </si>
  <si>
    <t xml:space="preserve">44 H 14 M</t>
  </si>
  <si>
    <t xml:space="preserve">Izabella Regino</t>
  </si>
  <si>
    <t xml:space="preserve">MAF14353</t>
  </si>
  <si>
    <t xml:space="preserve">12:30-07:00</t>
  </si>
  <si>
    <t xml:space="preserve">38 H 0 M</t>
  </si>
  <si>
    <t xml:space="preserve">No schedule data</t>
  </si>
  <si>
    <t xml:space="preserve">  State St – Springfield, MA  [NE]</t>
  </si>
  <si>
    <t xml:space="preserve">Alma Cedeno</t>
  </si>
  <si>
    <t xml:space="preserve">DCZ70200</t>
  </si>
  <si>
    <t xml:space="preserve">10:00-04:00</t>
  </si>
  <si>
    <t xml:space="preserve">09:45-03:00</t>
  </si>
  <si>
    <t xml:space="preserve">22 H 30 M</t>
  </si>
  <si>
    <t xml:space="preserve">Jessica Retamar</t>
  </si>
  <si>
    <t xml:space="preserve">IDF00979</t>
  </si>
  <si>
    <t xml:space="preserve">47 H 30 M</t>
  </si>
  <si>
    <t xml:space="preserve">Divante Lacy</t>
  </si>
  <si>
    <t xml:space="preserve">PNO47488</t>
  </si>
  <si>
    <t xml:space="preserve">12:00-07:15</t>
  </si>
  <si>
    <t xml:space="preserve">10:00-07:15</t>
  </si>
  <si>
    <t xml:space="preserve">11:00-05:15</t>
  </si>
  <si>
    <t xml:space="preserve">32 H 0 M</t>
  </si>
  <si>
    <t xml:space="preserve">  Exchange St – Chicopee, MA  [NE]</t>
  </si>
  <si>
    <t xml:space="preserve">⚠️ 6 solo day(s)</t>
  </si>
  <si>
    <t xml:space="preserve">Isaiah Caliz</t>
  </si>
  <si>
    <t xml:space="preserve">CZU10265</t>
  </si>
  <si>
    <t xml:space="preserve">24 H 45 M</t>
  </si>
  <si>
    <t xml:space="preserve">Jazmine Heredia</t>
  </si>
  <si>
    <t xml:space="preserve">QQL00950</t>
  </si>
  <si>
    <t xml:space="preserve">46 H 14 M</t>
  </si>
  <si>
    <t xml:space="preserve">  William Canning – Fall River, MA  [NE]</t>
  </si>
  <si>
    <t xml:space="preserve">🚨 1 day(s) unstaffed  ⚠️ 3 solo day(s)</t>
  </si>
  <si>
    <t xml:space="preserve">Justin Moniz</t>
  </si>
  <si>
    <t xml:space="preserve">USW26794</t>
  </si>
  <si>
    <t xml:space="preserve">40 H 44 M</t>
  </si>
  <si>
    <t xml:space="preserve">34 H 0 M</t>
  </si>
  <si>
    <t xml:space="preserve">  Main St – Norwich, CT  [NE]</t>
  </si>
  <si>
    <t xml:space="preserve">03:45-07:15</t>
  </si>
  <si>
    <t xml:space="preserve">10 H 30 M</t>
  </si>
  <si>
    <t xml:space="preserve">Brendaliz Oliver Rodriguez</t>
  </si>
  <si>
    <t xml:space="preserve">IHS87312</t>
  </si>
  <si>
    <t xml:space="preserve">10:45-05:15</t>
  </si>
  <si>
    <t xml:space="preserve">16 H 0 M</t>
  </si>
  <si>
    <t xml:space="preserve">  Western Ave – Knoxville, TN  [CENTRAL]</t>
  </si>
  <si>
    <t xml:space="preserve">⚠️ 5 solo day(s)</t>
  </si>
  <si>
    <t xml:space="preserve">Nicki Johnson</t>
  </si>
  <si>
    <t xml:space="preserve">GCK12676</t>
  </si>
  <si>
    <t xml:space="preserve">17 H 14 M</t>
  </si>
  <si>
    <t xml:space="preserve">  Locust St – Springfield, MA  [NE]</t>
  </si>
  <si>
    <t xml:space="preserve">🚨 1 day(s) unstaffed  ⚠️ 6 solo day(s)</t>
  </si>
  <si>
    <t xml:space="preserve">Alicia Montero</t>
  </si>
  <si>
    <t xml:space="preserve">KAM65097</t>
  </si>
  <si>
    <t xml:space="preserve">37 H 0 M</t>
  </si>
  <si>
    <t xml:space="preserve">  Keith St – Cleveland, TN  [SE]</t>
  </si>
  <si>
    <t xml:space="preserve">09:30-01:00</t>
  </si>
  <si>
    <t xml:space="preserve">32 H 29 M</t>
  </si>
  <si>
    <t xml:space="preserve">Mirtha Melendez</t>
  </si>
  <si>
    <t xml:space="preserve">QLO66750</t>
  </si>
  <si>
    <t xml:space="preserve">Nathan Millsaps</t>
  </si>
  <si>
    <t xml:space="preserve">RHF94107</t>
  </si>
  <si>
    <t xml:space="preserve">02:00-07:00</t>
  </si>
  <si>
    <t xml:space="preserve">03:00-07:00</t>
  </si>
  <si>
    <t xml:space="preserve">30 H 44 M</t>
  </si>
  <si>
    <t xml:space="preserve">  Broad St – Providence, RI  [NE]</t>
  </si>
  <si>
    <t xml:space="preserve">Hector Marrero</t>
  </si>
  <si>
    <t xml:space="preserve">EIY40272</t>
  </si>
  <si>
    <t xml:space="preserve">01:30-07:00</t>
  </si>
  <si>
    <t xml:space="preserve">22 H 44 M</t>
  </si>
  <si>
    <t xml:space="preserve">Jensy Rodriguez</t>
  </si>
  <si>
    <t xml:space="preserve">JIY63724</t>
  </si>
  <si>
    <t xml:space="preserve">21 H 29 M</t>
  </si>
  <si>
    <t xml:space="preserve">Keysha Betancourt</t>
  </si>
  <si>
    <t xml:space="preserve">YFB29407</t>
  </si>
  <si>
    <t xml:space="preserve">09:45-01:30</t>
  </si>
  <si>
    <t xml:space="preserve">26 H 44 M</t>
  </si>
  <si>
    <t xml:space="preserve">  Colonel Glenn – Little Rock, AR  [CENTRAL]</t>
  </si>
  <si>
    <t xml:space="preserve">47 H 29 M</t>
  </si>
  <si>
    <t xml:space="preserve">9 H 29 M</t>
  </si>
  <si>
    <t xml:space="preserve">6 H 15 M</t>
  </si>
  <si>
    <t xml:space="preserve">  Douglas Ave – Providence, RI  [NE]</t>
  </si>
  <si>
    <t xml:space="preserve">Handriel Marmol</t>
  </si>
  <si>
    <t xml:space="preserve">PHM41466</t>
  </si>
  <si>
    <t xml:space="preserve">15 H 30 M</t>
  </si>
  <si>
    <t xml:space="preserve">  W Market – Johnson City, TN  [CENTRAL]</t>
  </si>
  <si>
    <t xml:space="preserve">Charisma Heggie</t>
  </si>
  <si>
    <t xml:space="preserve">LZO62919</t>
  </si>
  <si>
    <t xml:space="preserve">31 H 29 M</t>
  </si>
  <si>
    <t xml:space="preserve">Melicia Angel</t>
  </si>
  <si>
    <t xml:space="preserve">NFO89908</t>
  </si>
  <si>
    <t xml:space="preserve">09:45-02:30</t>
  </si>
  <si>
    <t xml:space="preserve">27 H 29 M</t>
  </si>
  <si>
    <t xml:space="preserve">Samantha Cuevas</t>
  </si>
  <si>
    <t xml:space="preserve">WXJ72901</t>
  </si>
  <si>
    <t xml:space="preserve">02:30-07:00</t>
  </si>
  <si>
    <t xml:space="preserve">11:00-04:00</t>
  </si>
  <si>
    <t xml:space="preserve">Shanna Speed</t>
  </si>
  <si>
    <t xml:space="preserve">ZPN24125</t>
  </si>
  <si>
    <t xml:space="preserve">16 H 29 M</t>
  </si>
  <si>
    <t xml:space="preserve">  Newport Ave – Rumford, RI  [NE]</t>
  </si>
  <si>
    <t xml:space="preserve">Oswaldo Aranda</t>
  </si>
  <si>
    <t xml:space="preserve">OLY61789</t>
  </si>
  <si>
    <t xml:space="preserve">33 H 14 M</t>
  </si>
  <si>
    <t xml:space="preserve">6 H 0 M</t>
  </si>
  <si>
    <t xml:space="preserve">5 H 0 M</t>
  </si>
  <si>
    <t xml:space="preserve">Cleoty Morales</t>
  </si>
  <si>
    <t xml:space="preserve">YGR92575</t>
  </si>
  <si>
    <t xml:space="preserve">29 H 15 M</t>
  </si>
  <si>
    <t xml:space="preserve">  W Andrew – Morristown, TN  [CENTRAL]</t>
  </si>
  <si>
    <t xml:space="preserve">Ashton Diamond</t>
  </si>
  <si>
    <t xml:space="preserve">LAZ96098</t>
  </si>
  <si>
    <t xml:space="preserve">10:00-06:00</t>
  </si>
  <si>
    <t xml:space="preserve">42 H 29 M</t>
  </si>
  <si>
    <t xml:space="preserve">24 H 44 M</t>
  </si>
  <si>
    <t xml:space="preserve">Andrew Serpa</t>
  </si>
  <si>
    <t xml:space="preserve">ZJV84218</t>
  </si>
  <si>
    <t xml:space="preserve">41 H 0 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</si>
</sst>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#,##0;\(#,##0\);\-"/>
    <numFmt numFmtId="168" formatCode="0.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AAAAA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2D2D2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b val="true"/>
      <sz val="11"/>
      <color rgb="FFCC4400"/>
      <name val="Arial"/>
      <family val="0"/>
      <charset val="1"/>
    </font>
    <font>
      <sz val="9"/>
      <color rgb="FF2D2D2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2D2D2D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color rgb="FF1A7A1A"/>
      <name val="Arial"/>
      <family val="0"/>
      <charset val="1"/>
    </font>
    <font>
      <sz val="8"/>
      <color rgb="FF888888"/>
      <name val="Arial"/>
      <family val="0"/>
      <charset val="1"/>
    </font>
    <font>
      <sz val="9"/>
      <color rgb="FFBBBBBB"/>
      <name val="Arial"/>
      <family val="0"/>
      <charset val="1"/>
    </font>
    <font>
      <sz val="8"/>
      <color rgb="FF1A5C1A"/>
      <name val="Arial"/>
      <family val="0"/>
      <charset val="1"/>
    </font>
    <font>
      <b val="true"/>
      <sz val="9"/>
      <color rgb="FF2D2D2D"/>
      <name val="Arial"/>
      <family val="0"/>
      <charset val="1"/>
    </font>
    <font>
      <b val="true"/>
      <sz val="8"/>
      <color rgb="FF1A5C1A"/>
      <name val="Arial"/>
      <family val="0"/>
      <charset val="1"/>
    </font>
    <font>
      <b val="true"/>
      <sz val="9"/>
      <color rgb="FF990000"/>
      <name val="Arial"/>
      <family val="0"/>
      <charset val="1"/>
    </font>
    <font>
      <b val="true"/>
      <sz val="9"/>
      <color rgb="FF885500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i val="true"/>
      <sz val="9"/>
      <color rgb="FFAAAAAA"/>
      <name val="Arial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2D2D2D"/>
        <bgColor rgb="FF223355"/>
      </patternFill>
    </fill>
    <fill>
      <patternFill patternType="solid">
        <fgColor rgb="FFCC0066"/>
        <bgColor rgb="FFFF0000"/>
      </patternFill>
    </fill>
    <fill>
      <patternFill patternType="solid">
        <fgColor rgb="FF16213E"/>
        <bgColor rgb="FF1A1A2E"/>
      </patternFill>
    </fill>
    <fill>
      <patternFill patternType="solid">
        <fgColor rgb="FFF2F2F2"/>
        <bgColor rgb="FFF0F0F0"/>
      </patternFill>
    </fill>
    <fill>
      <patternFill patternType="solid">
        <fgColor rgb="FFE94560"/>
        <bgColor rgb="FFCC4400"/>
      </patternFill>
    </fill>
    <fill>
      <patternFill patternType="solid">
        <fgColor rgb="FFFFFFFF"/>
        <bgColor rgb="FFF8F8F8"/>
      </patternFill>
    </fill>
    <fill>
      <patternFill patternType="solid">
        <fgColor rgb="FF0066CC"/>
        <bgColor rgb="FF004488"/>
      </patternFill>
    </fill>
    <fill>
      <patternFill patternType="solid">
        <fgColor rgb="FF006633"/>
        <bgColor rgb="FF1A5C1A"/>
      </patternFill>
    </fill>
    <fill>
      <patternFill patternType="solid">
        <fgColor rgb="FFCC6600"/>
        <bgColor rgb="FFCC4400"/>
      </patternFill>
    </fill>
    <fill>
      <patternFill patternType="solid">
        <fgColor rgb="FF770088"/>
        <bgColor rgb="FF800000"/>
      </patternFill>
    </fill>
    <fill>
      <patternFill patternType="solid">
        <fgColor rgb="FF004488"/>
        <bgColor rgb="FF0F3460"/>
      </patternFill>
    </fill>
    <fill>
      <patternFill patternType="solid">
        <fgColor rgb="FFF7D8E8"/>
        <bgColor rgb="FFFADADD"/>
      </patternFill>
    </fill>
    <fill>
      <patternFill patternType="solid">
        <fgColor rgb="FFFFF3E0"/>
        <bgColor rgb="FFFFF3CD"/>
      </patternFill>
    </fill>
    <fill>
      <patternFill patternType="solid">
        <fgColor rgb="FFD8E8F7"/>
        <bgColor rgb="FFD8E8E0"/>
      </patternFill>
    </fill>
    <fill>
      <patternFill patternType="solid">
        <fgColor rgb="FFD8E8E0"/>
        <bgColor rgb="FFD4EDDA"/>
      </patternFill>
    </fill>
    <fill>
      <patternFill patternType="solid">
        <fgColor rgb="FFF7E8D8"/>
        <bgColor rgb="FFE8E8E8"/>
      </patternFill>
    </fill>
    <fill>
      <patternFill patternType="solid">
        <fgColor rgb="FFEAD8ED"/>
        <bgColor rgb="FFF7D8E8"/>
      </patternFill>
    </fill>
    <fill>
      <patternFill patternType="solid">
        <fgColor rgb="FF595959"/>
        <bgColor rgb="FF555555"/>
      </patternFill>
    </fill>
    <fill>
      <patternFill patternType="solid">
        <fgColor rgb="FFF8F8F8"/>
        <bgColor rgb="FFF2F2F2"/>
      </patternFill>
    </fill>
    <fill>
      <patternFill patternType="solid">
        <fgColor rgb="FF0F3460"/>
        <bgColor rgb="FF223355"/>
      </patternFill>
    </fill>
    <fill>
      <patternFill patternType="solid">
        <fgColor rgb="FF445566"/>
        <bgColor rgb="FF555555"/>
      </patternFill>
    </fill>
    <fill>
      <patternFill patternType="solid">
        <fgColor rgb="FF334455"/>
        <bgColor rgb="FF223355"/>
      </patternFill>
    </fill>
    <fill>
      <patternFill patternType="solid">
        <fgColor rgb="FF223355"/>
        <bgColor rgb="FF0F3460"/>
      </patternFill>
    </fill>
    <fill>
      <patternFill patternType="solid">
        <fgColor rgb="FFD6F5D6"/>
        <bgColor rgb="FFD4EDDA"/>
      </patternFill>
    </fill>
    <fill>
      <patternFill patternType="solid">
        <fgColor rgb="FFD0D8E8"/>
        <bgColor rgb="FFCCCCCC"/>
      </patternFill>
    </fill>
    <fill>
      <patternFill patternType="solid">
        <fgColor rgb="FFEEF2F8"/>
        <bgColor rgb="FFF2F2F2"/>
      </patternFill>
    </fill>
    <fill>
      <patternFill patternType="solid">
        <fgColor rgb="FFF0F0F0"/>
        <bgColor rgb="FFF2F2F2"/>
      </patternFill>
    </fill>
    <fill>
      <patternFill patternType="solid">
        <fgColor rgb="FFE8F5E9"/>
        <bgColor rgb="FFF0F0F0"/>
      </patternFill>
    </fill>
    <fill>
      <patternFill patternType="solid">
        <fgColor rgb="FFD4EDDA"/>
        <bgColor rgb="FFD8E8E0"/>
      </patternFill>
    </fill>
    <fill>
      <patternFill patternType="solid">
        <fgColor rgb="FFE8E8E8"/>
        <bgColor rgb="FFF0F0F0"/>
      </patternFill>
    </fill>
    <fill>
      <patternFill patternType="solid">
        <fgColor rgb="FFFADADD"/>
        <bgColor rgb="FFF7D8E8"/>
      </patternFill>
    </fill>
    <fill>
      <patternFill patternType="solid">
        <fgColor rgb="FFFFF3CD"/>
        <bgColor rgb="FFFFF9C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A7A1A"/>
        <sz val="10"/>
      </font>
      <fill>
        <patternFill>
          <bgColor rgb="FFD6F5D6"/>
        </patternFill>
      </fill>
    </dxf>
    <dxf>
      <font>
        <name val="Arial"/>
        <charset val="1"/>
        <family val="0"/>
        <b val="1"/>
        <color rgb="FF7A6000"/>
        <sz val="10"/>
      </font>
      <fill>
        <patternFill>
          <bgColor rgb="FFFFF9C4"/>
        </patternFill>
      </fill>
    </dxf>
    <dxf>
      <font>
        <name val="Arial"/>
        <charset val="1"/>
        <family val="0"/>
        <b val="1"/>
        <color rgb="FF990000"/>
        <sz val="10"/>
      </font>
      <fill>
        <patternFill>
          <bgColor rgb="FFFADA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E8D8"/>
      <rgbColor rgb="FFFF00FF"/>
      <rgbColor rgb="FFF2F2F2"/>
      <rgbColor rgb="FF990000"/>
      <rgbColor rgb="FF1A7A1A"/>
      <rgbColor rgb="FF004488"/>
      <rgbColor rgb="FF7A6000"/>
      <rgbColor rgb="FF770088"/>
      <rgbColor rgb="FF006633"/>
      <rgbColor rgb="FFBBBBBB"/>
      <rgbColor rgb="FF888888"/>
      <rgbColor rgb="FFD8E8F7"/>
      <rgbColor rgb="FFCC4400"/>
      <rgbColor rgb="FFFFF9C4"/>
      <rgbColor rgb="FFE8F5E9"/>
      <rgbColor rgb="FF334455"/>
      <rgbColor rgb="FFE94560"/>
      <rgbColor rgb="FF0066CC"/>
      <rgbColor rgb="FFD0D8E8"/>
      <rgbColor rgb="FF000080"/>
      <rgbColor rgb="FFFF00FF"/>
      <rgbColor rgb="FFFFF3E0"/>
      <rgbColor rgb="FFF8F8F8"/>
      <rgbColor rgb="FFCC0066"/>
      <rgbColor rgb="FF800000"/>
      <rgbColor rgb="FF1A5C1A"/>
      <rgbColor rgb="FF0000FF"/>
      <rgbColor rgb="FF00CCFF"/>
      <rgbColor rgb="FFD4EDDA"/>
      <rgbColor rgb="FFD6F5D6"/>
      <rgbColor rgb="FFFFF3CD"/>
      <rgbColor rgb="FFCCCCCC"/>
      <rgbColor rgb="FFF7D8E8"/>
      <rgbColor rgb="FFEAD8ED"/>
      <rgbColor rgb="FFFADADD"/>
      <rgbColor rgb="FF555555"/>
      <rgbColor rgb="FFEEF2F8"/>
      <rgbColor rgb="FFE8E8E8"/>
      <rgbColor rgb="FFD8E8E0"/>
      <rgbColor rgb="FFF0F0F0"/>
      <rgbColor rgb="FFCC6600"/>
      <rgbColor rgb="FF666666"/>
      <rgbColor rgb="FFAAAAAA"/>
      <rgbColor rgb="FF0F3460"/>
      <rgbColor rgb="FF445566"/>
      <rgbColor rgb="FF16213E"/>
      <rgbColor rgb="FF1A1A2E"/>
      <rgbColor rgb="FF885500"/>
      <rgbColor rgb="FF595959"/>
      <rgbColor rgb="FF223355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9" min="3" style="1" width="1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9.5" hidden="false" customHeight="true" outlineLevel="0" collapsed="false"/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18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 customFormat="false" ht="36" hidden="false" customHeight="true" outlineLevel="0" collapsed="false">
      <c r="B6" s="6" t="n">
        <f aca="false">SUM('📋 SCORECARD'!D3:D36)</f>
        <v>4431</v>
      </c>
      <c r="C6" s="6" t="n">
        <f aca="false">SUM('📋 SCORECARD'!H3:H36)</f>
        <v>1114</v>
      </c>
      <c r="D6" s="6" t="n">
        <f aca="false">SUM('📋 SCORECARD'!L3:L36)</f>
        <v>303</v>
      </c>
      <c r="E6" s="6" t="n">
        <f aca="false">SUM('📋 SCORECARD'!P3:P36)</f>
        <v>2375</v>
      </c>
      <c r="F6" s="6" t="n">
        <f aca="false">SUM('📋 SCORECARD'!T3:T36)</f>
        <v>657</v>
      </c>
      <c r="G6" s="6" t="n">
        <f aca="false">COUNTA('📋 SCORECARD'!B3:B36)</f>
        <v>34</v>
      </c>
      <c r="H6" s="6" t="n">
        <f aca="false">COUNTIF('📋 SCORECARD'!G3:G36,"✅ ON TRACK")</f>
        <v>0</v>
      </c>
      <c r="I6" s="6" t="n">
        <f aca="false">COUNTIF('📋 SCORECARD'!G3:G36,"🚨 ALERT")</f>
        <v>0</v>
      </c>
    </row>
    <row r="7" customFormat="false" ht="36" hidden="false" customHeight="true" outlineLevel="0" collapsed="false">
      <c r="A7" s="7" t="s">
        <v>11</v>
      </c>
      <c r="B7" s="7"/>
      <c r="C7" s="7"/>
      <c r="D7" s="7"/>
      <c r="E7" s="7"/>
      <c r="F7" s="7"/>
      <c r="G7" s="7"/>
      <c r="H7" s="7"/>
      <c r="I7" s="7"/>
    </row>
    <row r="8" customFormat="false" ht="31.5" hidden="false" customHeight="true" outlineLevel="0" collapsed="false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  <c r="G8" s="8" t="s">
        <v>18</v>
      </c>
      <c r="H8" s="8" t="s">
        <v>19</v>
      </c>
      <c r="I8" s="8" t="s">
        <v>20</v>
      </c>
    </row>
    <row r="9" customFormat="false" ht="18" hidden="false" customHeight="true" outlineLevel="0" collapsed="false">
      <c r="A9" s="9" t="str">
        <f aca="false">'📋 SCORECARD'!A3</f>
        <v>RK</v>
      </c>
      <c r="B9" s="10" t="str">
        <f aca="false">'📋 SCORECARD'!B3</f>
        <v>STORE NAME</v>
      </c>
      <c r="C9" s="9" t="str">
        <f aca="false">'📋 SCORECARD'!C3</f>
        <v>REGION</v>
      </c>
      <c r="D9" s="11" t="str">
        <f aca="false">'📋 SCORECARD'!D3</f>
        <v>TARGET</v>
      </c>
      <c r="E9" s="11" t="str">
        <f aca="false">'📋 SCORECARD'!E3</f>
        <v>ACTUAL</v>
      </c>
      <c r="F9" s="11" t="str">
        <f aca="false">'📋 SCORECARD'!F3</f>
        <v>GAP</v>
      </c>
      <c r="G9" s="9" t="str">
        <f aca="false">'📋 SCORECARD'!G3</f>
        <v>STATUS</v>
      </c>
      <c r="H9" s="11" t="str">
        <f aca="false">'📋 SCORECARD'!H3</f>
        <v>TARGET</v>
      </c>
      <c r="I9" s="11" t="str">
        <f aca="false">'📋 SCORECARD'!I3</f>
        <v>ACTUAL</v>
      </c>
    </row>
    <row r="10" customFormat="false" ht="18" hidden="false" customHeight="true" outlineLevel="0" collapsed="false">
      <c r="A10" s="12" t="n">
        <f aca="false">'📋 SCORECARD'!A4</f>
        <v>1</v>
      </c>
      <c r="B10" s="13" t="str">
        <f aca="false">'📋 SCORECARD'!B4</f>
        <v>Kelley Sq – Kelley Sq Worcester, MA</v>
      </c>
      <c r="C10" s="12" t="str">
        <f aca="false">'📋 SCORECARD'!C4</f>
        <v>NE</v>
      </c>
      <c r="D10" s="14" t="n">
        <f aca="false">'📋 SCORECARD'!D4</f>
        <v>262</v>
      </c>
      <c r="E10" s="14" t="n">
        <f aca="false">'📋 SCORECARD'!E4</f>
        <v>0</v>
      </c>
      <c r="F10" s="14" t="str">
        <f aca="false">'📋 SCORECARD'!F4</f>
        <v/>
      </c>
      <c r="G10" s="12" t="str">
        <f aca="false">'📋 SCORECARD'!G4</f>
        <v>—</v>
      </c>
      <c r="H10" s="14" t="n">
        <f aca="false">'📋 SCORECARD'!H4</f>
        <v>81</v>
      </c>
      <c r="I10" s="14" t="n">
        <f aca="false">'📋 SCORECARD'!I4</f>
        <v>0</v>
      </c>
    </row>
    <row r="11" customFormat="false" ht="18" hidden="false" customHeight="true" outlineLevel="0" collapsed="false">
      <c r="A11" s="9" t="n">
        <f aca="false">'📋 SCORECARD'!A5</f>
        <v>2</v>
      </c>
      <c r="B11" s="10" t="str">
        <f aca="false">'📋 SCORECARD'!B5</f>
        <v>Providence Pl – Providence, RI</v>
      </c>
      <c r="C11" s="9" t="str">
        <f aca="false">'📋 SCORECARD'!C5</f>
        <v>NE</v>
      </c>
      <c r="D11" s="11" t="n">
        <f aca="false">'📋 SCORECARD'!D5</f>
        <v>226</v>
      </c>
      <c r="E11" s="11" t="n">
        <f aca="false">'📋 SCORECARD'!E5</f>
        <v>0</v>
      </c>
      <c r="F11" s="11" t="str">
        <f aca="false">'📋 SCORECARD'!F5</f>
        <v/>
      </c>
      <c r="G11" s="9" t="str">
        <f aca="false">'📋 SCORECARD'!G5</f>
        <v>—</v>
      </c>
      <c r="H11" s="11" t="n">
        <f aca="false">'📋 SCORECARD'!H5</f>
        <v>54</v>
      </c>
      <c r="I11" s="11" t="n">
        <f aca="false">'📋 SCORECARD'!I5</f>
        <v>0</v>
      </c>
    </row>
    <row r="12" customFormat="false" ht="18" hidden="false" customHeight="true" outlineLevel="0" collapsed="false">
      <c r="A12" s="12" t="n">
        <f aca="false">'📋 SCORECARD'!A6</f>
        <v>3</v>
      </c>
      <c r="B12" s="13" t="str">
        <f aca="false">'📋 SCORECARD'!B6</f>
        <v>Hartford Ave – Providence, RI</v>
      </c>
      <c r="C12" s="12" t="str">
        <f aca="false">'📋 SCORECARD'!C6</f>
        <v>NE</v>
      </c>
      <c r="D12" s="14" t="n">
        <f aca="false">'📋 SCORECARD'!D6</f>
        <v>201</v>
      </c>
      <c r="E12" s="14" t="n">
        <f aca="false">'📋 SCORECARD'!E6</f>
        <v>0</v>
      </c>
      <c r="F12" s="14" t="str">
        <f aca="false">'📋 SCORECARD'!F6</f>
        <v/>
      </c>
      <c r="G12" s="12" t="str">
        <f aca="false">'📋 SCORECARD'!G6</f>
        <v>—</v>
      </c>
      <c r="H12" s="14" t="n">
        <f aca="false">'📋 SCORECARD'!H6</f>
        <v>54</v>
      </c>
      <c r="I12" s="14" t="n">
        <f aca="false">'📋 SCORECARD'!I6</f>
        <v>0</v>
      </c>
    </row>
    <row r="13" customFormat="false" ht="18" hidden="false" customHeight="true" outlineLevel="0" collapsed="false">
      <c r="A13" s="9" t="n">
        <f aca="false">'📋 SCORECARD'!A7</f>
        <v>4</v>
      </c>
      <c r="B13" s="10" t="str">
        <f aca="false">'📋 SCORECARD'!B7</f>
        <v>Holyoke Street – Holyoke Street Holyoke, MA</v>
      </c>
      <c r="C13" s="9" t="str">
        <f aca="false">'📋 SCORECARD'!C7</f>
        <v>NE</v>
      </c>
      <c r="D13" s="11" t="n">
        <f aca="false">'📋 SCORECARD'!D7</f>
        <v>191</v>
      </c>
      <c r="E13" s="11" t="n">
        <f aca="false">'📋 SCORECARD'!E7</f>
        <v>0</v>
      </c>
      <c r="F13" s="11" t="str">
        <f aca="false">'📋 SCORECARD'!F7</f>
        <v/>
      </c>
      <c r="G13" s="9" t="str">
        <f aca="false">'📋 SCORECARD'!G7</f>
        <v>—</v>
      </c>
      <c r="H13" s="11" t="n">
        <f aca="false">'📋 SCORECARD'!H7</f>
        <v>48</v>
      </c>
      <c r="I13" s="11" t="n">
        <f aca="false">'📋 SCORECARD'!I7</f>
        <v>0</v>
      </c>
    </row>
    <row r="14" customFormat="false" ht="18" hidden="false" customHeight="true" outlineLevel="0" collapsed="false">
      <c r="A14" s="12" t="n">
        <f aca="false">'📋 SCORECARD'!A8</f>
        <v>5</v>
      </c>
      <c r="B14" s="13" t="str">
        <f aca="false">'📋 SCORECARD'!B8</f>
        <v>Granite St – Braintree, MA</v>
      </c>
      <c r="C14" s="12" t="str">
        <f aca="false">'📋 SCORECARD'!C8</f>
        <v>NE</v>
      </c>
      <c r="D14" s="14" t="n">
        <f aca="false">'📋 SCORECARD'!D8</f>
        <v>190</v>
      </c>
      <c r="E14" s="14" t="n">
        <f aca="false">'📋 SCORECARD'!E8</f>
        <v>0</v>
      </c>
      <c r="F14" s="14" t="str">
        <f aca="false">'📋 SCORECARD'!F8</f>
        <v/>
      </c>
      <c r="G14" s="12" t="str">
        <f aca="false">'📋 SCORECARD'!G8</f>
        <v>—</v>
      </c>
      <c r="H14" s="14" t="n">
        <f aca="false">'📋 SCORECARD'!H8</f>
        <v>56</v>
      </c>
      <c r="I14" s="14" t="n">
        <f aca="false">'📋 SCORECARD'!I8</f>
        <v>0</v>
      </c>
    </row>
    <row r="15" customFormat="false" ht="18" hidden="false" customHeight="true" outlineLevel="0" collapsed="false">
      <c r="A15" s="9" t="n">
        <f aca="false">'📋 SCORECARD'!A9</f>
        <v>6</v>
      </c>
      <c r="B15" s="10" t="str">
        <f aca="false">'📋 SCORECARD'!B9</f>
        <v>S Frontage – New London, CT</v>
      </c>
      <c r="C15" s="9" t="str">
        <f aca="false">'📋 SCORECARD'!C9</f>
        <v>NE</v>
      </c>
      <c r="D15" s="11" t="n">
        <f aca="false">'📋 SCORECARD'!D9</f>
        <v>186</v>
      </c>
      <c r="E15" s="11" t="n">
        <f aca="false">'📋 SCORECARD'!E9</f>
        <v>0</v>
      </c>
      <c r="F15" s="11" t="str">
        <f aca="false">'📋 SCORECARD'!F9</f>
        <v/>
      </c>
      <c r="G15" s="9" t="str">
        <f aca="false">'📋 SCORECARD'!G9</f>
        <v>—</v>
      </c>
      <c r="H15" s="11" t="n">
        <f aca="false">'📋 SCORECARD'!H9</f>
        <v>44</v>
      </c>
      <c r="I15" s="11" t="n">
        <f aca="false">'📋 SCORECARD'!I9</f>
        <v>0</v>
      </c>
    </row>
    <row r="16" customFormat="false" ht="18" hidden="false" customHeight="true" outlineLevel="0" collapsed="false">
      <c r="A16" s="12" t="n">
        <f aca="false">'📋 SCORECARD'!A10</f>
        <v>7</v>
      </c>
      <c r="B16" s="13" t="str">
        <f aca="false">'📋 SCORECARD'!B10</f>
        <v>Geyer Springs – Little Rock, AR</v>
      </c>
      <c r="C16" s="12" t="str">
        <f aca="false">'📋 SCORECARD'!C10</f>
        <v>CENTRAL</v>
      </c>
      <c r="D16" s="14" t="n">
        <f aca="false">'📋 SCORECARD'!D10</f>
        <v>182</v>
      </c>
      <c r="E16" s="14" t="n">
        <f aca="false">'📋 SCORECARD'!E10</f>
        <v>0</v>
      </c>
      <c r="F16" s="14" t="str">
        <f aca="false">'📋 SCORECARD'!F10</f>
        <v/>
      </c>
      <c r="G16" s="12" t="str">
        <f aca="false">'📋 SCORECARD'!G10</f>
        <v>—</v>
      </c>
      <c r="H16" s="14" t="n">
        <f aca="false">'📋 SCORECARD'!H10</f>
        <v>47</v>
      </c>
      <c r="I16" s="14" t="n">
        <f aca="false">'📋 SCORECARD'!I10</f>
        <v>0</v>
      </c>
    </row>
    <row r="17" customFormat="false" ht="18" hidden="false" customHeight="true" outlineLevel="0" collapsed="false">
      <c r="A17" s="9" t="n">
        <f aca="false">'📋 SCORECARD'!A11</f>
        <v>8</v>
      </c>
      <c r="B17" s="10" t="str">
        <f aca="false">'📋 SCORECARD'!B11</f>
        <v>E Magnolia – Knoxville, TN</v>
      </c>
      <c r="C17" s="9" t="str">
        <f aca="false">'📋 SCORECARD'!C11</f>
        <v>CENTRAL</v>
      </c>
      <c r="D17" s="11" t="n">
        <f aca="false">'📋 SCORECARD'!D11</f>
        <v>182</v>
      </c>
      <c r="E17" s="11" t="n">
        <f aca="false">'📋 SCORECARD'!E11</f>
        <v>0</v>
      </c>
      <c r="F17" s="11" t="str">
        <f aca="false">'📋 SCORECARD'!F11</f>
        <v/>
      </c>
      <c r="G17" s="9" t="str">
        <f aca="false">'📋 SCORECARD'!G11</f>
        <v>—</v>
      </c>
      <c r="H17" s="11" t="n">
        <f aca="false">'📋 SCORECARD'!H11</f>
        <v>42</v>
      </c>
      <c r="I17" s="11" t="n">
        <f aca="false">'📋 SCORECARD'!I11</f>
        <v>0</v>
      </c>
    </row>
    <row r="18" customFormat="false" ht="18" hidden="false" customHeight="true" outlineLevel="0" collapsed="false">
      <c r="A18" s="12" t="n">
        <f aca="false">'📋 SCORECARD'!A12</f>
        <v>9</v>
      </c>
      <c r="B18" s="13" t="str">
        <f aca="false">'📋 SCORECARD'!B12</f>
        <v>N Broadway – Knoxville, TN</v>
      </c>
      <c r="C18" s="12" t="str">
        <f aca="false">'📋 SCORECARD'!C12</f>
        <v>CENTRAL</v>
      </c>
      <c r="D18" s="14" t="n">
        <f aca="false">'📋 SCORECARD'!D12</f>
        <v>169</v>
      </c>
      <c r="E18" s="14" t="n">
        <f aca="false">'📋 SCORECARD'!E12</f>
        <v>0</v>
      </c>
      <c r="F18" s="14" t="str">
        <f aca="false">'📋 SCORECARD'!F12</f>
        <v/>
      </c>
      <c r="G18" s="12" t="str">
        <f aca="false">'📋 SCORECARD'!G12</f>
        <v>—</v>
      </c>
      <c r="H18" s="14" t="n">
        <f aca="false">'📋 SCORECARD'!H12</f>
        <v>35</v>
      </c>
      <c r="I18" s="14" t="n">
        <f aca="false">'📋 SCORECARD'!I12</f>
        <v>0</v>
      </c>
    </row>
    <row r="19" customFormat="false" ht="18" hidden="false" customHeight="true" outlineLevel="0" collapsed="false">
      <c r="A19" s="9" t="n">
        <f aca="false">'📋 SCORECARD'!A13</f>
        <v>10</v>
      </c>
      <c r="B19" s="10" t="str">
        <f aca="false">'📋 SCORECARD'!B13</f>
        <v>Iyannough Rd., – Hyannis, MA</v>
      </c>
      <c r="C19" s="9" t="str">
        <f aca="false">'📋 SCORECARD'!C13</f>
        <v>NE</v>
      </c>
      <c r="D19" s="11" t="n">
        <f aca="false">'📋 SCORECARD'!D13</f>
        <v>161</v>
      </c>
      <c r="E19" s="11" t="n">
        <f aca="false">'📋 SCORECARD'!E13</f>
        <v>0</v>
      </c>
      <c r="F19" s="11" t="str">
        <f aca="false">'📋 SCORECARD'!F13</f>
        <v/>
      </c>
      <c r="G19" s="9" t="str">
        <f aca="false">'📋 SCORECARD'!G13</f>
        <v>—</v>
      </c>
      <c r="H19" s="11" t="n">
        <f aca="false">'📋 SCORECARD'!H13</f>
        <v>36</v>
      </c>
      <c r="I19" s="11" t="n">
        <f aca="false">'📋 SCORECARD'!I13</f>
        <v>0</v>
      </c>
    </row>
    <row r="20" customFormat="false" ht="18" hidden="false" customHeight="true" outlineLevel="0" collapsed="false">
      <c r="A20" s="12" t="n">
        <f aca="false">'📋 SCORECARD'!A14</f>
        <v>11</v>
      </c>
      <c r="B20" s="13" t="str">
        <f aca="false">'📋 SCORECARD'!B14</f>
        <v>Coggeshall St – New Bedford, MA</v>
      </c>
      <c r="C20" s="12" t="str">
        <f aca="false">'📋 SCORECARD'!C14</f>
        <v>NE</v>
      </c>
      <c r="D20" s="14" t="n">
        <f aca="false">'📋 SCORECARD'!D14</f>
        <v>153</v>
      </c>
      <c r="E20" s="14" t="n">
        <f aca="false">'📋 SCORECARD'!E14</f>
        <v>0</v>
      </c>
      <c r="F20" s="14" t="str">
        <f aca="false">'📋 SCORECARD'!F14</f>
        <v/>
      </c>
      <c r="G20" s="12" t="str">
        <f aca="false">'📋 SCORECARD'!G14</f>
        <v>—</v>
      </c>
      <c r="H20" s="14" t="n">
        <f aca="false">'📋 SCORECARD'!H14</f>
        <v>38</v>
      </c>
      <c r="I20" s="14" t="n">
        <f aca="false">'📋 SCORECARD'!I14</f>
        <v>0</v>
      </c>
    </row>
    <row r="21" customFormat="false" ht="18" hidden="false" customHeight="true" outlineLevel="0" collapsed="false">
      <c r="A21" s="9" t="n">
        <f aca="false">'📋 SCORECARD'!A15</f>
        <v>12</v>
      </c>
      <c r="B21" s="10" t="str">
        <f aca="false">'📋 SCORECARD'!B15</f>
        <v>Western Ave – Lynn, MA</v>
      </c>
      <c r="C21" s="9" t="str">
        <f aca="false">'📋 SCORECARD'!C15</f>
        <v>NE</v>
      </c>
      <c r="D21" s="11" t="n">
        <f aca="false">'📋 SCORECARD'!D15</f>
        <v>141</v>
      </c>
      <c r="E21" s="11" t="n">
        <f aca="false">'📋 SCORECARD'!E15</f>
        <v>0</v>
      </c>
      <c r="F21" s="11" t="str">
        <f aca="false">'📋 SCORECARD'!F15</f>
        <v/>
      </c>
      <c r="G21" s="9" t="str">
        <f aca="false">'📋 SCORECARD'!G15</f>
        <v>—</v>
      </c>
      <c r="H21" s="11" t="n">
        <f aca="false">'📋 SCORECARD'!H15</f>
        <v>39</v>
      </c>
      <c r="I21" s="11" t="n">
        <f aca="false">'📋 SCORECARD'!I15</f>
        <v>0</v>
      </c>
    </row>
    <row r="22" customFormat="false" ht="18" hidden="false" customHeight="true" outlineLevel="0" collapsed="false">
      <c r="A22" s="12" t="n">
        <f aca="false">'📋 SCORECARD'!A16</f>
        <v>13</v>
      </c>
      <c r="B22" s="13" t="str">
        <f aca="false">'📋 SCORECARD'!B16</f>
        <v>Shallowford Rd – Chattanooga, TN</v>
      </c>
      <c r="C22" s="12" t="str">
        <f aca="false">'📋 SCORECARD'!C16</f>
        <v>SE</v>
      </c>
      <c r="D22" s="14" t="n">
        <f aca="false">'📋 SCORECARD'!D16</f>
        <v>141</v>
      </c>
      <c r="E22" s="14" t="n">
        <f aca="false">'📋 SCORECARD'!E16</f>
        <v>0</v>
      </c>
      <c r="F22" s="14" t="str">
        <f aca="false">'📋 SCORECARD'!F16</f>
        <v/>
      </c>
      <c r="G22" s="12" t="str">
        <f aca="false">'📋 SCORECARD'!G16</f>
        <v>—</v>
      </c>
      <c r="H22" s="14" t="n">
        <f aca="false">'📋 SCORECARD'!H16</f>
        <v>31</v>
      </c>
      <c r="I22" s="14" t="n">
        <f aca="false">'📋 SCORECARD'!I16</f>
        <v>0</v>
      </c>
    </row>
    <row r="23" customFormat="false" ht="18" hidden="false" customHeight="true" outlineLevel="0" collapsed="false">
      <c r="A23" s="9" t="n">
        <f aca="false">'📋 SCORECARD'!A17</f>
        <v>14</v>
      </c>
      <c r="B23" s="10" t="str">
        <f aca="false">'📋 SCORECARD'!B17</f>
        <v>Broad St – Central Falls, RI</v>
      </c>
      <c r="C23" s="9" t="str">
        <f aca="false">'📋 SCORECARD'!C17</f>
        <v>NE</v>
      </c>
      <c r="D23" s="11" t="n">
        <f aca="false">'📋 SCORECARD'!D17</f>
        <v>131</v>
      </c>
      <c r="E23" s="11" t="n">
        <f aca="false">'📋 SCORECARD'!E17</f>
        <v>0</v>
      </c>
      <c r="F23" s="11" t="str">
        <f aca="false">'📋 SCORECARD'!F17</f>
        <v/>
      </c>
      <c r="G23" s="9" t="str">
        <f aca="false">'📋 SCORECARD'!G17</f>
        <v>—</v>
      </c>
      <c r="H23" s="11" t="n">
        <f aca="false">'📋 SCORECARD'!H17</f>
        <v>39</v>
      </c>
      <c r="I23" s="11" t="n">
        <f aca="false">'📋 SCORECARD'!I17</f>
        <v>0</v>
      </c>
    </row>
    <row r="24" customFormat="false" ht="18" hidden="false" customHeight="true" outlineLevel="0" collapsed="false">
      <c r="A24" s="12" t="n">
        <f aca="false">'📋 SCORECARD'!A18</f>
        <v>15</v>
      </c>
      <c r="B24" s="13" t="str">
        <f aca="false">'📋 SCORECARD'!B18</f>
        <v>Rockdale Ave – New Bedford, MA</v>
      </c>
      <c r="C24" s="12" t="str">
        <f aca="false">'📋 SCORECARD'!C18</f>
        <v>NE</v>
      </c>
      <c r="D24" s="14" t="n">
        <f aca="false">'📋 SCORECARD'!D18</f>
        <v>131</v>
      </c>
      <c r="E24" s="14" t="n">
        <f aca="false">'📋 SCORECARD'!E18</f>
        <v>0</v>
      </c>
      <c r="F24" s="14" t="str">
        <f aca="false">'📋 SCORECARD'!F18</f>
        <v/>
      </c>
      <c r="G24" s="12" t="str">
        <f aca="false">'📋 SCORECARD'!G18</f>
        <v>—</v>
      </c>
      <c r="H24" s="14" t="n">
        <f aca="false">'📋 SCORECARD'!H18</f>
        <v>32</v>
      </c>
      <c r="I24" s="14" t="n">
        <f aca="false">'📋 SCORECARD'!I18</f>
        <v>0</v>
      </c>
    </row>
    <row r="25" customFormat="false" ht="18" hidden="false" customHeight="true" outlineLevel="0" collapsed="false">
      <c r="A25" s="9" t="n">
        <f aca="false">'📋 SCORECARD'!A19</f>
        <v>16</v>
      </c>
      <c r="B25" s="10" t="str">
        <f aca="false">'📋 SCORECARD'!B19</f>
        <v>Buckland Hills – Manchester, CT</v>
      </c>
      <c r="C25" s="9" t="str">
        <f aca="false">'📋 SCORECARD'!C19</f>
        <v>NE</v>
      </c>
      <c r="D25" s="11" t="n">
        <f aca="false">'📋 SCORECARD'!D19</f>
        <v>129</v>
      </c>
      <c r="E25" s="11" t="n">
        <f aca="false">'📋 SCORECARD'!E19</f>
        <v>0</v>
      </c>
      <c r="F25" s="11" t="str">
        <f aca="false">'📋 SCORECARD'!F19</f>
        <v/>
      </c>
      <c r="G25" s="9" t="str">
        <f aca="false">'📋 SCORECARD'!G19</f>
        <v>—</v>
      </c>
      <c r="H25" s="11" t="n">
        <f aca="false">'📋 SCORECARD'!H19</f>
        <v>31</v>
      </c>
      <c r="I25" s="11" t="n">
        <f aca="false">'📋 SCORECARD'!I19</f>
        <v>0</v>
      </c>
    </row>
    <row r="26" customFormat="false" ht="18" hidden="false" customHeight="true" outlineLevel="0" collapsed="false">
      <c r="A26" s="12" t="n">
        <f aca="false">'📋 SCORECARD'!A20</f>
        <v>17</v>
      </c>
      <c r="B26" s="13" t="str">
        <f aca="false">'📋 SCORECARD'!B20</f>
        <v>Warren Ave – East Providence, RI</v>
      </c>
      <c r="C26" s="12" t="str">
        <f aca="false">'📋 SCORECARD'!C20</f>
        <v>NE</v>
      </c>
      <c r="D26" s="14" t="n">
        <f aca="false">'📋 SCORECARD'!D20</f>
        <v>128</v>
      </c>
      <c r="E26" s="14" t="n">
        <f aca="false">'📋 SCORECARD'!E20</f>
        <v>0</v>
      </c>
      <c r="F26" s="14" t="str">
        <f aca="false">'📋 SCORECARD'!F20</f>
        <v/>
      </c>
      <c r="G26" s="12" t="str">
        <f aca="false">'📋 SCORECARD'!G20</f>
        <v>—</v>
      </c>
      <c r="H26" s="14" t="n">
        <f aca="false">'📋 SCORECARD'!H20</f>
        <v>35</v>
      </c>
      <c r="I26" s="14" t="n">
        <f aca="false">'📋 SCORECARD'!I20</f>
        <v>0</v>
      </c>
    </row>
    <row r="27" customFormat="false" ht="18" hidden="false" customHeight="true" outlineLevel="0" collapsed="false">
      <c r="A27" s="9" t="n">
        <f aca="false">'📋 SCORECARD'!A21</f>
        <v>18</v>
      </c>
      <c r="B27" s="10" t="str">
        <f aca="false">'📋 SCORECARD'!B21</f>
        <v>Bald Hill – Warwick, RI</v>
      </c>
      <c r="C27" s="9" t="str">
        <f aca="false">'📋 SCORECARD'!C21</f>
        <v>NE</v>
      </c>
      <c r="D27" s="11" t="n">
        <f aca="false">'📋 SCORECARD'!D21</f>
        <v>125</v>
      </c>
      <c r="E27" s="11" t="n">
        <f aca="false">'📋 SCORECARD'!E21</f>
        <v>0</v>
      </c>
      <c r="F27" s="11" t="str">
        <f aca="false">'📋 SCORECARD'!F21</f>
        <v/>
      </c>
      <c r="G27" s="9" t="str">
        <f aca="false">'📋 SCORECARD'!G21</f>
        <v>—</v>
      </c>
      <c r="H27" s="11" t="n">
        <f aca="false">'📋 SCORECARD'!H21</f>
        <v>36</v>
      </c>
      <c r="I27" s="11" t="n">
        <f aca="false">'📋 SCORECARD'!I21</f>
        <v>0</v>
      </c>
    </row>
    <row r="28" customFormat="false" ht="18" hidden="false" customHeight="true" outlineLevel="0" collapsed="false">
      <c r="A28" s="12" t="n">
        <f aca="false">'📋 SCORECARD'!A22</f>
        <v>19</v>
      </c>
      <c r="B28" s="13" t="str">
        <f aca="false">'📋 SCORECARD'!B22</f>
        <v>Reservoir Ave – Cranston, RI</v>
      </c>
      <c r="C28" s="12" t="str">
        <f aca="false">'📋 SCORECARD'!C22</f>
        <v>NE</v>
      </c>
      <c r="D28" s="14" t="n">
        <f aca="false">'📋 SCORECARD'!D22</f>
        <v>119</v>
      </c>
      <c r="E28" s="14" t="n">
        <f aca="false">'📋 SCORECARD'!E22</f>
        <v>0</v>
      </c>
      <c r="F28" s="14" t="str">
        <f aca="false">'📋 SCORECARD'!F22</f>
        <v/>
      </c>
      <c r="G28" s="12" t="str">
        <f aca="false">'📋 SCORECARD'!G22</f>
        <v>—</v>
      </c>
      <c r="H28" s="14" t="n">
        <f aca="false">'📋 SCORECARD'!H22</f>
        <v>35</v>
      </c>
      <c r="I28" s="14" t="n">
        <f aca="false">'📋 SCORECARD'!I22</f>
        <v>0</v>
      </c>
    </row>
    <row r="29" customFormat="false" ht="18" hidden="false" customHeight="true" outlineLevel="0" collapsed="false">
      <c r="A29" s="9" t="n">
        <f aca="false">'📋 SCORECARD'!A23</f>
        <v>20</v>
      </c>
      <c r="B29" s="10" t="str">
        <f aca="false">'📋 SCORECARD'!B23</f>
        <v>State St – Springfield, MA</v>
      </c>
      <c r="C29" s="9" t="str">
        <f aca="false">'📋 SCORECARD'!C23</f>
        <v>NE</v>
      </c>
      <c r="D29" s="11" t="n">
        <f aca="false">'📋 SCORECARD'!D23</f>
        <v>112</v>
      </c>
      <c r="E29" s="11" t="n">
        <f aca="false">'📋 SCORECARD'!E23</f>
        <v>0</v>
      </c>
      <c r="F29" s="11" t="str">
        <f aca="false">'📋 SCORECARD'!F23</f>
        <v/>
      </c>
      <c r="G29" s="9" t="str">
        <f aca="false">'📋 SCORECARD'!G23</f>
        <v>—</v>
      </c>
      <c r="H29" s="11" t="n">
        <f aca="false">'📋 SCORECARD'!H23</f>
        <v>29</v>
      </c>
      <c r="I29" s="11" t="n">
        <f aca="false">'📋 SCORECARD'!I23</f>
        <v>0</v>
      </c>
    </row>
    <row r="30" customFormat="false" ht="18" hidden="false" customHeight="true" outlineLevel="0" collapsed="false">
      <c r="A30" s="12" t="n">
        <f aca="false">'📋 SCORECARD'!A24</f>
        <v>21</v>
      </c>
      <c r="B30" s="13" t="str">
        <f aca="false">'📋 SCORECARD'!B24</f>
        <v>Broadway Newport – Broadway Newport, RI</v>
      </c>
      <c r="C30" s="12" t="str">
        <f aca="false">'📋 SCORECARD'!C24</f>
        <v>NE</v>
      </c>
      <c r="D30" s="14" t="n">
        <f aca="false">'📋 SCORECARD'!D24</f>
        <v>109</v>
      </c>
      <c r="E30" s="14" t="n">
        <f aca="false">'📋 SCORECARD'!E24</f>
        <v>0</v>
      </c>
      <c r="F30" s="14" t="str">
        <f aca="false">'📋 SCORECARD'!F24</f>
        <v/>
      </c>
      <c r="G30" s="12" t="str">
        <f aca="false">'📋 SCORECARD'!G24</f>
        <v>—</v>
      </c>
      <c r="H30" s="14" t="n">
        <f aca="false">'📋 SCORECARD'!H24</f>
        <v>28</v>
      </c>
      <c r="I30" s="14" t="n">
        <f aca="false">'📋 SCORECARD'!I24</f>
        <v>0</v>
      </c>
    </row>
    <row r="31" customFormat="false" ht="18" hidden="false" customHeight="true" outlineLevel="0" collapsed="false">
      <c r="A31" s="9" t="n">
        <f aca="false">'📋 SCORECARD'!A25</f>
        <v>22</v>
      </c>
      <c r="B31" s="10" t="str">
        <f aca="false">'📋 SCORECARD'!B25</f>
        <v>Exchange St – Chicopee, MA</v>
      </c>
      <c r="C31" s="9" t="str">
        <f aca="false">'📋 SCORECARD'!C25</f>
        <v>NE</v>
      </c>
      <c r="D31" s="11" t="n">
        <f aca="false">'📋 SCORECARD'!D25</f>
        <v>105</v>
      </c>
      <c r="E31" s="11" t="n">
        <f aca="false">'📋 SCORECARD'!E25</f>
        <v>0</v>
      </c>
      <c r="F31" s="11" t="str">
        <f aca="false">'📋 SCORECARD'!F25</f>
        <v/>
      </c>
      <c r="G31" s="9" t="str">
        <f aca="false">'📋 SCORECARD'!G25</f>
        <v>—</v>
      </c>
      <c r="H31" s="11" t="n">
        <f aca="false">'📋 SCORECARD'!H25</f>
        <v>24</v>
      </c>
      <c r="I31" s="11" t="n">
        <f aca="false">'📋 SCORECARD'!I25</f>
        <v>0</v>
      </c>
    </row>
    <row r="32" customFormat="false" ht="18" hidden="false" customHeight="true" outlineLevel="0" collapsed="false">
      <c r="A32" s="12" t="n">
        <f aca="false">'📋 SCORECARD'!A26</f>
        <v>23</v>
      </c>
      <c r="B32" s="13" t="str">
        <f aca="false">'📋 SCORECARD'!B26</f>
        <v>William Canning – Fall River, MA</v>
      </c>
      <c r="C32" s="12" t="str">
        <f aca="false">'📋 SCORECARD'!C26</f>
        <v>NE</v>
      </c>
      <c r="D32" s="14" t="n">
        <f aca="false">'📋 SCORECARD'!D26</f>
        <v>101</v>
      </c>
      <c r="E32" s="14" t="n">
        <f aca="false">'📋 SCORECARD'!E26</f>
        <v>0</v>
      </c>
      <c r="F32" s="14" t="str">
        <f aca="false">'📋 SCORECARD'!F26</f>
        <v/>
      </c>
      <c r="G32" s="12" t="str">
        <f aca="false">'📋 SCORECARD'!G26</f>
        <v>—</v>
      </c>
      <c r="H32" s="14" t="n">
        <f aca="false">'📋 SCORECARD'!H26</f>
        <v>25</v>
      </c>
      <c r="I32" s="14" t="n">
        <f aca="false">'📋 SCORECARD'!I26</f>
        <v>0</v>
      </c>
    </row>
    <row r="33" customFormat="false" ht="18" hidden="false" customHeight="true" outlineLevel="0" collapsed="false">
      <c r="A33" s="9" t="n">
        <f aca="false">'📋 SCORECARD'!A27</f>
        <v>24</v>
      </c>
      <c r="B33" s="10" t="str">
        <f aca="false">'📋 SCORECARD'!B27</f>
        <v>Main St – Norwich, CT</v>
      </c>
      <c r="C33" s="9" t="str">
        <f aca="false">'📋 SCORECARD'!C27</f>
        <v>NE</v>
      </c>
      <c r="D33" s="11" t="n">
        <f aca="false">'📋 SCORECARD'!D27</f>
        <v>100</v>
      </c>
      <c r="E33" s="11" t="n">
        <f aca="false">'📋 SCORECARD'!E27</f>
        <v>0</v>
      </c>
      <c r="F33" s="11" t="str">
        <f aca="false">'📋 SCORECARD'!F27</f>
        <v/>
      </c>
      <c r="G33" s="9" t="str">
        <f aca="false">'📋 SCORECARD'!G27</f>
        <v>—</v>
      </c>
      <c r="H33" s="11" t="n">
        <f aca="false">'📋 SCORECARD'!H27</f>
        <v>22</v>
      </c>
      <c r="I33" s="11" t="n">
        <f aca="false">'📋 SCORECARD'!I27</f>
        <v>0</v>
      </c>
    </row>
    <row r="34" customFormat="false" ht="18" hidden="false" customHeight="true" outlineLevel="0" collapsed="false">
      <c r="A34" s="12" t="n">
        <f aca="false">'📋 SCORECARD'!A28</f>
        <v>25</v>
      </c>
      <c r="B34" s="13" t="str">
        <f aca="false">'📋 SCORECARD'!B28</f>
        <v>Locust St – Springfield, MA</v>
      </c>
      <c r="C34" s="12" t="str">
        <f aca="false">'📋 SCORECARD'!C28</f>
        <v>NE</v>
      </c>
      <c r="D34" s="14" t="n">
        <f aca="false">'📋 SCORECARD'!D28</f>
        <v>94</v>
      </c>
      <c r="E34" s="14" t="n">
        <f aca="false">'📋 SCORECARD'!E28</f>
        <v>0</v>
      </c>
      <c r="F34" s="14" t="str">
        <f aca="false">'📋 SCORECARD'!F28</f>
        <v/>
      </c>
      <c r="G34" s="12" t="str">
        <f aca="false">'📋 SCORECARD'!G28</f>
        <v>—</v>
      </c>
      <c r="H34" s="14" t="n">
        <f aca="false">'📋 SCORECARD'!H28</f>
        <v>20</v>
      </c>
      <c r="I34" s="14" t="n">
        <f aca="false">'📋 SCORECARD'!I28</f>
        <v>0</v>
      </c>
    </row>
    <row r="35" customFormat="false" ht="18" hidden="false" customHeight="true" outlineLevel="0" collapsed="false">
      <c r="A35" s="9" t="n">
        <f aca="false">'📋 SCORECARD'!A29</f>
        <v>26</v>
      </c>
      <c r="B35" s="10" t="str">
        <f aca="false">'📋 SCORECARD'!B29</f>
        <v>Western Ave – Knoxville, TN</v>
      </c>
      <c r="C35" s="9" t="str">
        <f aca="false">'📋 SCORECARD'!C29</f>
        <v>CENTRAL</v>
      </c>
      <c r="D35" s="11" t="n">
        <f aca="false">'📋 SCORECARD'!D29</f>
        <v>94</v>
      </c>
      <c r="E35" s="11" t="n">
        <f aca="false">'📋 SCORECARD'!E29</f>
        <v>0</v>
      </c>
      <c r="F35" s="11" t="str">
        <f aca="false">'📋 SCORECARD'!F29</f>
        <v/>
      </c>
      <c r="G35" s="9" t="str">
        <f aca="false">'📋 SCORECARD'!G29</f>
        <v>—</v>
      </c>
      <c r="H35" s="11" t="n">
        <f aca="false">'📋 SCORECARD'!H29</f>
        <v>22</v>
      </c>
      <c r="I35" s="11" t="n">
        <f aca="false">'📋 SCORECARD'!I29</f>
        <v>0</v>
      </c>
    </row>
    <row r="36" customFormat="false" ht="18" hidden="false" customHeight="true" outlineLevel="0" collapsed="false">
      <c r="A36" s="12" t="n">
        <f aca="false">'📋 SCORECARD'!A30</f>
        <v>27</v>
      </c>
      <c r="B36" s="13" t="str">
        <f aca="false">'📋 SCORECARD'!B30</f>
        <v>Keith St – Cleveland, TN</v>
      </c>
      <c r="C36" s="12" t="str">
        <f aca="false">'📋 SCORECARD'!C30</f>
        <v>SE</v>
      </c>
      <c r="D36" s="14" t="n">
        <f aca="false">'📋 SCORECARD'!D30</f>
        <v>92</v>
      </c>
      <c r="E36" s="14" t="n">
        <f aca="false">'📋 SCORECARD'!E30</f>
        <v>0</v>
      </c>
      <c r="F36" s="14" t="str">
        <f aca="false">'📋 SCORECARD'!F30</f>
        <v/>
      </c>
      <c r="G36" s="12" t="str">
        <f aca="false">'📋 SCORECARD'!G30</f>
        <v>—</v>
      </c>
      <c r="H36" s="14" t="n">
        <f aca="false">'📋 SCORECARD'!H30</f>
        <v>20</v>
      </c>
      <c r="I36" s="14" t="n">
        <f aca="false">'📋 SCORECARD'!I30</f>
        <v>0</v>
      </c>
    </row>
    <row r="37" customFormat="false" ht="18" hidden="false" customHeight="true" outlineLevel="0" collapsed="false">
      <c r="A37" s="9" t="n">
        <f aca="false">'📋 SCORECARD'!A31</f>
        <v>28</v>
      </c>
      <c r="B37" s="10" t="str">
        <f aca="false">'📋 SCORECARD'!B31</f>
        <v>Broad St – Providence, RI</v>
      </c>
      <c r="C37" s="9" t="str">
        <f aca="false">'📋 SCORECARD'!C31</f>
        <v>NE</v>
      </c>
      <c r="D37" s="11" t="n">
        <f aca="false">'📋 SCORECARD'!D31</f>
        <v>88</v>
      </c>
      <c r="E37" s="11" t="n">
        <f aca="false">'📋 SCORECARD'!E31</f>
        <v>0</v>
      </c>
      <c r="F37" s="11" t="str">
        <f aca="false">'📋 SCORECARD'!F31</f>
        <v/>
      </c>
      <c r="G37" s="9" t="str">
        <f aca="false">'📋 SCORECARD'!G31</f>
        <v>—</v>
      </c>
      <c r="H37" s="11" t="n">
        <f aca="false">'📋 SCORECARD'!H31</f>
        <v>21</v>
      </c>
      <c r="I37" s="11" t="n">
        <f aca="false">'📋 SCORECARD'!I31</f>
        <v>0</v>
      </c>
    </row>
    <row r="38" customFormat="false" ht="18" hidden="false" customHeight="true" outlineLevel="0" collapsed="false">
      <c r="A38" s="12" t="n">
        <f aca="false">'📋 SCORECARD'!A32</f>
        <v>29</v>
      </c>
      <c r="B38" s="13" t="str">
        <f aca="false">'📋 SCORECARD'!B32</f>
        <v>Colonel Glenn – Little Rock, AR</v>
      </c>
      <c r="C38" s="12" t="str">
        <f aca="false">'📋 SCORECARD'!C32</f>
        <v>CENTRAL</v>
      </c>
      <c r="D38" s="14" t="n">
        <f aca="false">'📋 SCORECARD'!D32</f>
        <v>85</v>
      </c>
      <c r="E38" s="14" t="n">
        <f aca="false">'📋 SCORECARD'!E32</f>
        <v>0</v>
      </c>
      <c r="F38" s="14" t="str">
        <f aca="false">'📋 SCORECARD'!F32</f>
        <v/>
      </c>
      <c r="G38" s="12" t="str">
        <f aca="false">'📋 SCORECARD'!G32</f>
        <v>—</v>
      </c>
      <c r="H38" s="14" t="n">
        <f aca="false">'📋 SCORECARD'!H32</f>
        <v>18</v>
      </c>
      <c r="I38" s="14" t="n">
        <f aca="false">'📋 SCORECARD'!I32</f>
        <v>0</v>
      </c>
    </row>
    <row r="39" customFormat="false" ht="18" hidden="false" customHeight="true" outlineLevel="0" collapsed="false">
      <c r="A39" s="9" t="n">
        <f aca="false">'📋 SCORECARD'!A33</f>
        <v>30</v>
      </c>
      <c r="B39" s="10" t="str">
        <f aca="false">'📋 SCORECARD'!B33</f>
        <v>Douglas Ave – Providence, RI</v>
      </c>
      <c r="C39" s="9" t="str">
        <f aca="false">'📋 SCORECARD'!C33</f>
        <v>NE</v>
      </c>
      <c r="D39" s="11" t="n">
        <f aca="false">'📋 SCORECARD'!D33</f>
        <v>83</v>
      </c>
      <c r="E39" s="11" t="n">
        <f aca="false">'📋 SCORECARD'!E33</f>
        <v>0</v>
      </c>
      <c r="F39" s="11" t="str">
        <f aca="false">'📋 SCORECARD'!F33</f>
        <v/>
      </c>
      <c r="G39" s="9" t="str">
        <f aca="false">'📋 SCORECARD'!G33</f>
        <v>—</v>
      </c>
      <c r="H39" s="11" t="n">
        <f aca="false">'📋 SCORECARD'!H33</f>
        <v>18</v>
      </c>
      <c r="I39" s="11" t="n">
        <f aca="false">'📋 SCORECARD'!I33</f>
        <v>0</v>
      </c>
    </row>
    <row r="40" customFormat="false" ht="18" hidden="false" customHeight="true" outlineLevel="0" collapsed="false">
      <c r="A40" s="12" t="n">
        <f aca="false">'📋 SCORECARD'!A34</f>
        <v>31</v>
      </c>
      <c r="B40" s="13" t="str">
        <f aca="false">'📋 SCORECARD'!B34</f>
        <v>W Market – Johnson City, TN</v>
      </c>
      <c r="C40" s="12" t="str">
        <f aca="false">'📋 SCORECARD'!C34</f>
        <v>CENTRAL</v>
      </c>
      <c r="D40" s="14" t="n">
        <f aca="false">'📋 SCORECARD'!D34</f>
        <v>77</v>
      </c>
      <c r="E40" s="14" t="n">
        <f aca="false">'📋 SCORECARD'!E34</f>
        <v>0</v>
      </c>
      <c r="F40" s="14" t="str">
        <f aca="false">'📋 SCORECARD'!F34</f>
        <v/>
      </c>
      <c r="G40" s="12" t="str">
        <f aca="false">'📋 SCORECARD'!G34</f>
        <v>—</v>
      </c>
      <c r="H40" s="14" t="n">
        <f aca="false">'📋 SCORECARD'!H34</f>
        <v>18</v>
      </c>
      <c r="I40" s="14" t="n">
        <f aca="false">'📋 SCORECARD'!I34</f>
        <v>0</v>
      </c>
    </row>
    <row r="41" customFormat="false" ht="18" hidden="false" customHeight="true" outlineLevel="0" collapsed="false">
      <c r="A41" s="9" t="n">
        <f aca="false">'📋 SCORECARD'!A35</f>
        <v>32</v>
      </c>
      <c r="B41" s="10" t="str">
        <f aca="false">'📋 SCORECARD'!B35</f>
        <v>Newport Ave – Rumford, RI</v>
      </c>
      <c r="C41" s="9" t="str">
        <f aca="false">'📋 SCORECARD'!C35</f>
        <v>NE</v>
      </c>
      <c r="D41" s="11" t="n">
        <f aca="false">'📋 SCORECARD'!D35</f>
        <v>74</v>
      </c>
      <c r="E41" s="11" t="n">
        <f aca="false">'📋 SCORECARD'!E35</f>
        <v>0</v>
      </c>
      <c r="F41" s="11" t="str">
        <f aca="false">'📋 SCORECARD'!F35</f>
        <v/>
      </c>
      <c r="G41" s="9" t="str">
        <f aca="false">'📋 SCORECARD'!G35</f>
        <v>—</v>
      </c>
      <c r="H41" s="11" t="n">
        <f aca="false">'📋 SCORECARD'!H35</f>
        <v>20</v>
      </c>
      <c r="I41" s="11" t="n">
        <f aca="false">'📋 SCORECARD'!I35</f>
        <v>0</v>
      </c>
    </row>
    <row r="42" customFormat="false" ht="18" hidden="false" customHeight="true" outlineLevel="0" collapsed="false">
      <c r="A42" s="12" t="n">
        <f aca="false">'📋 SCORECARD'!A36</f>
        <v>33</v>
      </c>
      <c r="B42" s="13" t="str">
        <f aca="false">'📋 SCORECARD'!B36</f>
        <v>W Andrew – Morristown, TN</v>
      </c>
      <c r="C42" s="12" t="str">
        <f aca="false">'📋 SCORECARD'!C36</f>
        <v>CENTRAL</v>
      </c>
      <c r="D42" s="14" t="n">
        <f aca="false">'📋 SCORECARD'!D36</f>
        <v>69</v>
      </c>
      <c r="E42" s="14" t="n">
        <f aca="false">'📋 SCORECARD'!E36</f>
        <v>0</v>
      </c>
      <c r="F42" s="14" t="str">
        <f aca="false">'📋 SCORECARD'!F36</f>
        <v/>
      </c>
      <c r="G42" s="12" t="str">
        <f aca="false">'📋 SCORECARD'!G36</f>
        <v>—</v>
      </c>
      <c r="H42" s="14" t="n">
        <f aca="false">'📋 SCORECARD'!H36</f>
        <v>16</v>
      </c>
      <c r="I42" s="14" t="n">
        <f aca="false">'📋 SCORECARD'!I36</f>
        <v>0</v>
      </c>
    </row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mergeCells count="4">
    <mergeCell ref="A1:I1"/>
    <mergeCell ref="A2:I2"/>
    <mergeCell ref="A4:I4"/>
    <mergeCell ref="A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6" min="4" style="1" width="10"/>
    <col collapsed="false" customWidth="true" hidden="false" outlineLevel="0" max="7" min="7" style="1" width="14"/>
    <col collapsed="false" customWidth="true" hidden="false" outlineLevel="0" max="10" min="8" style="1" width="10"/>
    <col collapsed="false" customWidth="true" hidden="false" outlineLevel="0" max="11" min="11" style="1" width="14"/>
    <col collapsed="false" customWidth="true" hidden="false" outlineLevel="0" max="14" min="12" style="1" width="10"/>
    <col collapsed="false" customWidth="true" hidden="false" outlineLevel="0" max="15" min="15" style="1" width="14"/>
    <col collapsed="false" customWidth="true" hidden="false" outlineLevel="0" max="18" min="16" style="1" width="10"/>
    <col collapsed="false" customWidth="true" hidden="false" outlineLevel="0" max="19" min="19" style="1" width="14"/>
    <col collapsed="false" customWidth="true" hidden="false" outlineLevel="0" max="22" min="20" style="1" width="10"/>
    <col collapsed="false" customWidth="true" hidden="false" outlineLevel="0" max="23" min="23" style="1" width="14"/>
    <col collapsed="false" customWidth="true" hidden="false" outlineLevel="0" max="24" min="24" style="1" width="12"/>
    <col collapsed="false" customWidth="true" hidden="false" outlineLevel="0" max="25" min="25" style="1" width="28"/>
    <col collapsed="false" customWidth="true" hidden="false" outlineLevel="0" max="26" min="26" style="1" width="38"/>
  </cols>
  <sheetData>
    <row r="1" customFormat="false" ht="39.75" hidden="false" customHeight="true" outlineLevel="0" collapsed="false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customFormat="false" ht="31.5" hidden="false" customHeight="true" outlineLevel="0" collapsed="false">
      <c r="A2" s="8" t="s">
        <v>12</v>
      </c>
      <c r="B2" s="8" t="s">
        <v>22</v>
      </c>
      <c r="C2" s="8" t="s">
        <v>14</v>
      </c>
      <c r="D2" s="16" t="s">
        <v>23</v>
      </c>
      <c r="E2" s="16"/>
      <c r="F2" s="16"/>
      <c r="G2" s="16"/>
      <c r="H2" s="17" t="s">
        <v>24</v>
      </c>
      <c r="I2" s="17"/>
      <c r="J2" s="17"/>
      <c r="K2" s="17"/>
      <c r="L2" s="18" t="s">
        <v>25</v>
      </c>
      <c r="M2" s="18"/>
      <c r="N2" s="18"/>
      <c r="O2" s="18"/>
      <c r="P2" s="19" t="s">
        <v>26</v>
      </c>
      <c r="Q2" s="19"/>
      <c r="R2" s="19"/>
      <c r="S2" s="19"/>
      <c r="T2" s="20" t="s">
        <v>27</v>
      </c>
      <c r="U2" s="20"/>
      <c r="V2" s="20"/>
      <c r="W2" s="20"/>
      <c r="X2" s="8" t="s">
        <v>28</v>
      </c>
      <c r="Y2" s="8" t="s">
        <v>29</v>
      </c>
    </row>
    <row r="3" customFormat="false" ht="27.75" hidden="false" customHeight="true" outlineLevel="0" collapsed="false">
      <c r="A3" s="21" t="s">
        <v>12</v>
      </c>
      <c r="B3" s="21" t="s">
        <v>22</v>
      </c>
      <c r="C3" s="21" t="s">
        <v>14</v>
      </c>
      <c r="D3" s="22" t="s">
        <v>30</v>
      </c>
      <c r="E3" s="22" t="s">
        <v>31</v>
      </c>
      <c r="F3" s="22" t="s">
        <v>32</v>
      </c>
      <c r="G3" s="22" t="s">
        <v>33</v>
      </c>
      <c r="H3" s="23" t="s">
        <v>30</v>
      </c>
      <c r="I3" s="23" t="s">
        <v>31</v>
      </c>
      <c r="J3" s="23" t="s">
        <v>32</v>
      </c>
      <c r="K3" s="23" t="s">
        <v>33</v>
      </c>
      <c r="L3" s="24" t="s">
        <v>30</v>
      </c>
      <c r="M3" s="24" t="s">
        <v>31</v>
      </c>
      <c r="N3" s="24" t="s">
        <v>32</v>
      </c>
      <c r="O3" s="24" t="s">
        <v>33</v>
      </c>
      <c r="P3" s="25" t="s">
        <v>30</v>
      </c>
      <c r="Q3" s="25" t="s">
        <v>31</v>
      </c>
      <c r="R3" s="25" t="s">
        <v>32</v>
      </c>
      <c r="S3" s="25" t="s">
        <v>33</v>
      </c>
      <c r="T3" s="26" t="s">
        <v>30</v>
      </c>
      <c r="U3" s="26" t="s">
        <v>31</v>
      </c>
      <c r="V3" s="26" t="s">
        <v>32</v>
      </c>
      <c r="W3" s="26" t="s">
        <v>33</v>
      </c>
      <c r="X3" s="21" t="s">
        <v>28</v>
      </c>
      <c r="Y3" s="27" t="s">
        <v>34</v>
      </c>
      <c r="Z3" s="28" t="s">
        <v>35</v>
      </c>
    </row>
    <row r="4" customFormat="false" ht="19.5" hidden="false" customHeight="true" outlineLevel="0" collapsed="false">
      <c r="A4" s="29" t="n">
        <v>1</v>
      </c>
      <c r="B4" s="10" t="s">
        <v>36</v>
      </c>
      <c r="C4" s="9" t="s">
        <v>37</v>
      </c>
      <c r="D4" s="30" t="n">
        <v>262</v>
      </c>
      <c r="E4" s="31"/>
      <c r="F4" s="32" t="str">
        <f aca="false">IF(E4="","",E4-D4)</f>
        <v/>
      </c>
      <c r="G4" s="9" t="str">
        <f aca="false">IF(OR(E4="",D4=0),"—",IF(E4/D4&gt;=0.9,"✅ ON TRACK",IF(E4/D4&gt;=0.7,"⚠️ WATCH","🚨 ALERT")))</f>
        <v>—</v>
      </c>
      <c r="H4" s="33" t="n">
        <v>81</v>
      </c>
      <c r="I4" s="31"/>
      <c r="J4" s="32" t="str">
        <f aca="false">IF(I4="","",I4-H4)</f>
        <v/>
      </c>
      <c r="K4" s="9" t="str">
        <f aca="false">IF(OR(I4="",H4=0),"—",IF(I4/H4&gt;=0.9,"✅ ON TRACK",IF(I4/H4&gt;=0.7,"⚠️ WATCH","🚨 ALERT")))</f>
        <v>—</v>
      </c>
      <c r="L4" s="34" t="n">
        <v>16</v>
      </c>
      <c r="M4" s="31"/>
      <c r="N4" s="32" t="str">
        <f aca="false">IF(M4="","",M4-L4)</f>
        <v/>
      </c>
      <c r="O4" s="9" t="str">
        <f aca="false">IF(OR(M4="",L4=0),"—",IF(M4/L4&gt;=0.9,"✅ ON TRACK",IF(M4/L4&gt;=0.7,"⚠️ WATCH","🚨 ALERT")))</f>
        <v>—</v>
      </c>
      <c r="P4" s="35" t="n">
        <v>125</v>
      </c>
      <c r="Q4" s="31"/>
      <c r="R4" s="32" t="str">
        <f aca="false">IF(Q4="","",Q4-P4)</f>
        <v/>
      </c>
      <c r="S4" s="9" t="str">
        <f aca="false">IF(OR(Q4="",P4=0),"—",IF(Q4/P4&gt;=0.9,"✅ ON TRACK",IF(Q4/P4&gt;=0.7,"⚠️ WATCH","🚨 ALERT")))</f>
        <v>—</v>
      </c>
      <c r="T4" s="36" t="n">
        <v>30</v>
      </c>
      <c r="U4" s="31"/>
      <c r="V4" s="32" t="str">
        <f aca="false">IF(U4="","",U4-T4)</f>
        <v/>
      </c>
      <c r="W4" s="9" t="str">
        <f aca="false">IF(OR(U4="",T4=0),"—",IF(U4/T4&gt;=0.9,"✅ ON TRACK",IF(U4/T4&gt;=0.7,"⚠️ WATCH","🚨 ALERT")))</f>
        <v>—</v>
      </c>
      <c r="X4" s="37" t="n">
        <f aca="false">IFERROR(AVERAGE(IF(E4&lt;&gt;"",E4/D4),IF(I4&lt;&gt;"",I4/H4),IF(M4&lt;&gt;"",M4/L4),IF(Q4&lt;&gt;"",Q4/P4),IF(U4&lt;&gt;"",U4/T4)),"")</f>
        <v>0</v>
      </c>
      <c r="Y4" s="10" t="str">
        <f aca="false">IFERROR(IF(AND(E4&lt;&gt;"",I4&lt;&gt;"",E4/D4&gt;0.9,I4/H4&lt;0.7),"⚠️ Volume w/o BTS | ","")&amp;IF(AND(M4&lt;&gt;"",M4=0),"🚨 ZERO HSI | ","")&amp;IF(AND(I4&lt;&gt;"",I4=0),"🚨 ZERO BTS | ","")&amp;IF(AND(E4&lt;&gt;"",U4&lt;&gt;"",E4/D4&gt;0.8,U4/T4&lt;0.6),"⚠️ Weak MIMS | ","")&amp;IF(AND(E4&lt;&gt;"",M4&lt;&gt;"",E4/D4&gt;0.85,M4/L4&lt;0.65),"⚠️ No Full Solution | ",""),"—")</f>
        <v/>
      </c>
      <c r="Z4" s="38" t="s">
        <v>38</v>
      </c>
    </row>
    <row r="5" customFormat="false" ht="19.5" hidden="false" customHeight="true" outlineLevel="0" collapsed="false">
      <c r="A5" s="39" t="n">
        <v>2</v>
      </c>
      <c r="B5" s="13" t="s">
        <v>39</v>
      </c>
      <c r="C5" s="12" t="s">
        <v>37</v>
      </c>
      <c r="D5" s="30" t="n">
        <v>226</v>
      </c>
      <c r="E5" s="31"/>
      <c r="F5" s="40" t="str">
        <f aca="false">IF(E5="","",E5-D5)</f>
        <v/>
      </c>
      <c r="G5" s="41" t="str">
        <f aca="false">IF(OR(E5="",D5=0),"—",IF(E5/D5&gt;=0.9,"✅ ON TRACK",IF(E5/D5&gt;=0.7,"⚠️ WATCH","🚨 ALERT")))</f>
        <v>—</v>
      </c>
      <c r="H5" s="33" t="n">
        <v>54</v>
      </c>
      <c r="I5" s="31"/>
      <c r="J5" s="40" t="str">
        <f aca="false">IF(I5="","",I5-H5)</f>
        <v/>
      </c>
      <c r="K5" s="41" t="str">
        <f aca="false">IF(OR(I5="",H5=0),"—",IF(I5/H5&gt;=0.9,"✅ ON TRACK",IF(I5/H5&gt;=0.7,"⚠️ WATCH","🚨 ALERT")))</f>
        <v>—</v>
      </c>
      <c r="L5" s="34" t="n">
        <v>17</v>
      </c>
      <c r="M5" s="31"/>
      <c r="N5" s="40" t="str">
        <f aca="false">IF(M5="","",M5-L5)</f>
        <v/>
      </c>
      <c r="O5" s="41" t="str">
        <f aca="false">IF(OR(M5="",L5=0),"—",IF(M5/L5&gt;=0.9,"✅ ON TRACK",IF(M5/L5&gt;=0.7,"⚠️ WATCH","🚨 ALERT")))</f>
        <v>—</v>
      </c>
      <c r="P5" s="35" t="n">
        <v>118</v>
      </c>
      <c r="Q5" s="31"/>
      <c r="R5" s="40" t="str">
        <f aca="false">IF(Q5="","",Q5-P5)</f>
        <v/>
      </c>
      <c r="S5" s="41" t="str">
        <f aca="false">IF(OR(Q5="",P5=0),"—",IF(Q5/P5&gt;=0.9,"✅ ON TRACK",IF(Q5/P5&gt;=0.7,"⚠️ WATCH","🚨 ALERT")))</f>
        <v>—</v>
      </c>
      <c r="T5" s="36" t="n">
        <v>39</v>
      </c>
      <c r="U5" s="31"/>
      <c r="V5" s="40" t="str">
        <f aca="false">IF(U5="","",U5-T5)</f>
        <v/>
      </c>
      <c r="W5" s="41" t="str">
        <f aca="false">IF(OR(U5="",T5=0),"—",IF(U5/T5&gt;=0.9,"✅ ON TRACK",IF(U5/T5&gt;=0.7,"⚠️ WATCH","🚨 ALERT")))</f>
        <v>—</v>
      </c>
      <c r="X5" s="42" t="n">
        <f aca="false">IFERROR(AVERAGE(IF(E5&lt;&gt;"",E5/D5),IF(I5&lt;&gt;"",I5/H5),IF(M5&lt;&gt;"",M5/L5),IF(Q5&lt;&gt;"",Q5/P5),IF(U5&lt;&gt;"",U5/T5)),"")</f>
        <v>0</v>
      </c>
      <c r="Y5" s="13" t="str">
        <f aca="false">IFERROR(IF(AND(E5&lt;&gt;"",I5&lt;&gt;"",E5/D5&gt;0.9,I5/H5&lt;0.7),"⚠️ Volume w/o BTS | ","")&amp;IF(AND(M5&lt;&gt;"",M5=0),"🚨 ZERO HSI | ","")&amp;IF(AND(I5&lt;&gt;"",I5=0),"🚨 ZERO BTS | ","")&amp;IF(AND(E5&lt;&gt;"",U5&lt;&gt;"",E5/D5&gt;0.8,U5/T5&lt;0.6),"⚠️ Weak MIMS | ","")&amp;IF(AND(E5&lt;&gt;"",M5&lt;&gt;"",E5/D5&gt;0.85,M5/L5&lt;0.65),"⚠️ No Full Solution | ",""),"—")</f>
        <v/>
      </c>
      <c r="Z5" s="43" t="s">
        <v>40</v>
      </c>
    </row>
    <row r="6" customFormat="false" ht="19.5" hidden="false" customHeight="true" outlineLevel="0" collapsed="false">
      <c r="A6" s="29" t="n">
        <v>3</v>
      </c>
      <c r="B6" s="10" t="s">
        <v>41</v>
      </c>
      <c r="C6" s="9" t="s">
        <v>37</v>
      </c>
      <c r="D6" s="30" t="n">
        <v>201</v>
      </c>
      <c r="E6" s="31"/>
      <c r="F6" s="32" t="str">
        <f aca="false">IF(E6="","",E6-D6)</f>
        <v/>
      </c>
      <c r="G6" s="9" t="str">
        <f aca="false">IF(OR(E6="",D6=0),"—",IF(E6/D6&gt;=0.9,"✅ ON TRACK",IF(E6/D6&gt;=0.7,"⚠️ WATCH","🚨 ALERT")))</f>
        <v>—</v>
      </c>
      <c r="H6" s="33" t="n">
        <v>54</v>
      </c>
      <c r="I6" s="31"/>
      <c r="J6" s="32" t="str">
        <f aca="false">IF(I6="","",I6-H6)</f>
        <v/>
      </c>
      <c r="K6" s="9" t="str">
        <f aca="false">IF(OR(I6="",H6=0),"—",IF(I6/H6&gt;=0.9,"✅ ON TRACK",IF(I6/H6&gt;=0.7,"⚠️ WATCH","🚨 ALERT")))</f>
        <v>—</v>
      </c>
      <c r="L6" s="34" t="n">
        <v>10</v>
      </c>
      <c r="M6" s="31"/>
      <c r="N6" s="32" t="str">
        <f aca="false">IF(M6="","",M6-L6)</f>
        <v/>
      </c>
      <c r="O6" s="9" t="str">
        <f aca="false">IF(OR(M6="",L6=0),"—",IF(M6/L6&gt;=0.9,"✅ ON TRACK",IF(M6/L6&gt;=0.7,"⚠️ WATCH","🚨 ALERT")))</f>
        <v>—</v>
      </c>
      <c r="P6" s="35" t="n">
        <v>104</v>
      </c>
      <c r="Q6" s="31"/>
      <c r="R6" s="32" t="str">
        <f aca="false">IF(Q6="","",Q6-P6)</f>
        <v/>
      </c>
      <c r="S6" s="9" t="str">
        <f aca="false">IF(OR(Q6="",P6=0),"—",IF(Q6/P6&gt;=0.9,"✅ ON TRACK",IF(Q6/P6&gt;=0.7,"⚠️ WATCH","🚨 ALERT")))</f>
        <v>—</v>
      </c>
      <c r="T6" s="36" t="n">
        <v>27</v>
      </c>
      <c r="U6" s="31"/>
      <c r="V6" s="32" t="str">
        <f aca="false">IF(U6="","",U6-T6)</f>
        <v/>
      </c>
      <c r="W6" s="9" t="str">
        <f aca="false">IF(OR(U6="",T6=0),"—",IF(U6/T6&gt;=0.9,"✅ ON TRACK",IF(U6/T6&gt;=0.7,"⚠️ WATCH","🚨 ALERT")))</f>
        <v>—</v>
      </c>
      <c r="X6" s="37" t="n">
        <f aca="false">IFERROR(AVERAGE(IF(E6&lt;&gt;"",E6/D6),IF(I6&lt;&gt;"",I6/H6),IF(M6&lt;&gt;"",M6/L6),IF(Q6&lt;&gt;"",Q6/P6),IF(U6&lt;&gt;"",U6/T6)),"")</f>
        <v>0</v>
      </c>
      <c r="Y6" s="10" t="str">
        <f aca="false">IFERROR(IF(AND(E6&lt;&gt;"",I6&lt;&gt;"",E6/D6&gt;0.9,I6/H6&lt;0.7),"⚠️ Volume w/o BTS | ","")&amp;IF(AND(M6&lt;&gt;"",M6=0),"🚨 ZERO HSI | ","")&amp;IF(AND(I6&lt;&gt;"",I6=0),"🚨 ZERO BTS | ","")&amp;IF(AND(E6&lt;&gt;"",U6&lt;&gt;"",E6/D6&gt;0.8,U6/T6&lt;0.6),"⚠️ Weak MIMS | ","")&amp;IF(AND(E6&lt;&gt;"",M6&lt;&gt;"",E6/D6&gt;0.85,M6/L6&lt;0.65),"⚠️ No Full Solution | ",""),"—")</f>
        <v/>
      </c>
      <c r="Z6" s="38" t="s">
        <v>42</v>
      </c>
    </row>
    <row r="7" customFormat="false" ht="19.5" hidden="false" customHeight="true" outlineLevel="0" collapsed="false">
      <c r="A7" s="39" t="n">
        <v>4</v>
      </c>
      <c r="B7" s="13" t="s">
        <v>43</v>
      </c>
      <c r="C7" s="12" t="s">
        <v>37</v>
      </c>
      <c r="D7" s="30" t="n">
        <v>191</v>
      </c>
      <c r="E7" s="31"/>
      <c r="F7" s="40" t="str">
        <f aca="false">IF(E7="","",E7-D7)</f>
        <v/>
      </c>
      <c r="G7" s="41" t="str">
        <f aca="false">IF(OR(E7="",D7=0),"—",IF(E7/D7&gt;=0.9,"✅ ON TRACK",IF(E7/D7&gt;=0.7,"⚠️ WATCH","🚨 ALERT")))</f>
        <v>—</v>
      </c>
      <c r="H7" s="33" t="n">
        <v>48</v>
      </c>
      <c r="I7" s="31"/>
      <c r="J7" s="40" t="str">
        <f aca="false">IF(I7="","",I7-H7)</f>
        <v/>
      </c>
      <c r="K7" s="41" t="str">
        <f aca="false">IF(OR(I7="",H7=0),"—",IF(I7/H7&gt;=0.9,"✅ ON TRACK",IF(I7/H7&gt;=0.7,"⚠️ WATCH","🚨 ALERT")))</f>
        <v>—</v>
      </c>
      <c r="L7" s="34" t="n">
        <v>9</v>
      </c>
      <c r="M7" s="31"/>
      <c r="N7" s="40" t="str">
        <f aca="false">IF(M7="","",M7-L7)</f>
        <v/>
      </c>
      <c r="O7" s="41" t="str">
        <f aca="false">IF(OR(M7="",L7=0),"—",IF(M7/L7&gt;=0.9,"✅ ON TRACK",IF(M7/L7&gt;=0.7,"⚠️ WATCH","🚨 ALERT")))</f>
        <v>—</v>
      </c>
      <c r="P7" s="35" t="n">
        <v>112</v>
      </c>
      <c r="Q7" s="31"/>
      <c r="R7" s="40" t="str">
        <f aca="false">IF(Q7="","",Q7-P7)</f>
        <v/>
      </c>
      <c r="S7" s="41" t="str">
        <f aca="false">IF(OR(Q7="",P7=0),"—",IF(Q7/P7&gt;=0.9,"✅ ON TRACK",IF(Q7/P7&gt;=0.7,"⚠️ WATCH","🚨 ALERT")))</f>
        <v>—</v>
      </c>
      <c r="T7" s="36" t="n">
        <v>33</v>
      </c>
      <c r="U7" s="31"/>
      <c r="V7" s="40" t="str">
        <f aca="false">IF(U7="","",U7-T7)</f>
        <v/>
      </c>
      <c r="W7" s="41" t="str">
        <f aca="false">IF(OR(U7="",T7=0),"—",IF(U7/T7&gt;=0.9,"✅ ON TRACK",IF(U7/T7&gt;=0.7,"⚠️ WATCH","🚨 ALERT")))</f>
        <v>—</v>
      </c>
      <c r="X7" s="42" t="n">
        <f aca="false">IFERROR(AVERAGE(IF(E7&lt;&gt;"",E7/D7),IF(I7&lt;&gt;"",I7/H7),IF(M7&lt;&gt;"",M7/L7),IF(Q7&lt;&gt;"",Q7/P7),IF(U7&lt;&gt;"",U7/T7)),"")</f>
        <v>0</v>
      </c>
      <c r="Y7" s="13" t="str">
        <f aca="false">IFERROR(IF(AND(E7&lt;&gt;"",I7&lt;&gt;"",E7/D7&gt;0.9,I7/H7&lt;0.7),"⚠️ Volume w/o BTS | ","")&amp;IF(AND(M7&lt;&gt;"",M7=0),"🚨 ZERO HSI | ","")&amp;IF(AND(I7&lt;&gt;"",I7=0),"🚨 ZERO BTS | ","")&amp;IF(AND(E7&lt;&gt;"",U7&lt;&gt;"",E7/D7&gt;0.8,U7/T7&lt;0.6),"⚠️ Weak MIMS | ","")&amp;IF(AND(E7&lt;&gt;"",M7&lt;&gt;"",E7/D7&gt;0.85,M7/L7&lt;0.65),"⚠️ No Full Solution | ",""),"—")</f>
        <v/>
      </c>
      <c r="Z7" s="43" t="s">
        <v>44</v>
      </c>
    </row>
    <row r="8" customFormat="false" ht="19.5" hidden="false" customHeight="true" outlineLevel="0" collapsed="false">
      <c r="A8" s="29" t="n">
        <v>5</v>
      </c>
      <c r="B8" s="10" t="s">
        <v>45</v>
      </c>
      <c r="C8" s="9" t="s">
        <v>37</v>
      </c>
      <c r="D8" s="30" t="n">
        <v>190</v>
      </c>
      <c r="E8" s="31"/>
      <c r="F8" s="32" t="str">
        <f aca="false">IF(E8="","",E8-D8)</f>
        <v/>
      </c>
      <c r="G8" s="9" t="str">
        <f aca="false">IF(OR(E8="",D8=0),"—",IF(E8/D8&gt;=0.9,"✅ ON TRACK",IF(E8/D8&gt;=0.7,"⚠️ WATCH","🚨 ALERT")))</f>
        <v>—</v>
      </c>
      <c r="H8" s="33" t="n">
        <v>56</v>
      </c>
      <c r="I8" s="31"/>
      <c r="J8" s="32" t="str">
        <f aca="false">IF(I8="","",I8-H8)</f>
        <v/>
      </c>
      <c r="K8" s="9" t="str">
        <f aca="false">IF(OR(I8="",H8=0),"—",IF(I8/H8&gt;=0.9,"✅ ON TRACK",IF(I8/H8&gt;=0.7,"⚠️ WATCH","🚨 ALERT")))</f>
        <v>—</v>
      </c>
      <c r="L8" s="34" t="n">
        <v>11</v>
      </c>
      <c r="M8" s="31"/>
      <c r="N8" s="32" t="str">
        <f aca="false">IF(M8="","",M8-L8)</f>
        <v/>
      </c>
      <c r="O8" s="9" t="str">
        <f aca="false">IF(OR(M8="",L8=0),"—",IF(M8/L8&gt;=0.9,"✅ ON TRACK",IF(M8/L8&gt;=0.7,"⚠️ WATCH","🚨 ALERT")))</f>
        <v>—</v>
      </c>
      <c r="P8" s="35" t="n">
        <v>87</v>
      </c>
      <c r="Q8" s="31"/>
      <c r="R8" s="32" t="str">
        <f aca="false">IF(Q8="","",Q8-P8)</f>
        <v/>
      </c>
      <c r="S8" s="9" t="str">
        <f aca="false">IF(OR(Q8="",P8=0),"—",IF(Q8/P8&gt;=0.9,"✅ ON TRACK",IF(Q8/P8&gt;=0.7,"⚠️ WATCH","🚨 ALERT")))</f>
        <v>—</v>
      </c>
      <c r="T8" s="36" t="n">
        <v>37</v>
      </c>
      <c r="U8" s="31"/>
      <c r="V8" s="32" t="str">
        <f aca="false">IF(U8="","",U8-T8)</f>
        <v/>
      </c>
      <c r="W8" s="9" t="str">
        <f aca="false">IF(OR(U8="",T8=0),"—",IF(U8/T8&gt;=0.9,"✅ ON TRACK",IF(U8/T8&gt;=0.7,"⚠️ WATCH","🚨 ALERT")))</f>
        <v>—</v>
      </c>
      <c r="X8" s="37" t="n">
        <f aca="false">IFERROR(AVERAGE(IF(E8&lt;&gt;"",E8/D8),IF(I8&lt;&gt;"",I8/H8),IF(M8&lt;&gt;"",M8/L8),IF(Q8&lt;&gt;"",Q8/P8),IF(U8&lt;&gt;"",U8/T8)),"")</f>
        <v>0</v>
      </c>
      <c r="Y8" s="10" t="str">
        <f aca="false">IFERROR(IF(AND(E8&lt;&gt;"",I8&lt;&gt;"",E8/D8&gt;0.9,I8/H8&lt;0.7),"⚠️ Volume w/o BTS | ","")&amp;IF(AND(M8&lt;&gt;"",M8=0),"🚨 ZERO HSI | ","")&amp;IF(AND(I8&lt;&gt;"",I8=0),"🚨 ZERO BTS | ","")&amp;IF(AND(E8&lt;&gt;"",U8&lt;&gt;"",E8/D8&gt;0.8,U8/T8&lt;0.6),"⚠️ Weak MIMS | ","")&amp;IF(AND(E8&lt;&gt;"",M8&lt;&gt;"",E8/D8&gt;0.85,M8/L8&lt;0.65),"⚠️ No Full Solution | ",""),"—")</f>
        <v/>
      </c>
      <c r="Z8" s="38" t="s">
        <v>46</v>
      </c>
    </row>
    <row r="9" customFormat="false" ht="19.5" hidden="false" customHeight="true" outlineLevel="0" collapsed="false">
      <c r="A9" s="39" t="n">
        <v>6</v>
      </c>
      <c r="B9" s="13" t="s">
        <v>47</v>
      </c>
      <c r="C9" s="12" t="s">
        <v>37</v>
      </c>
      <c r="D9" s="30" t="n">
        <v>186</v>
      </c>
      <c r="E9" s="31"/>
      <c r="F9" s="40" t="str">
        <f aca="false">IF(E9="","",E9-D9)</f>
        <v/>
      </c>
      <c r="G9" s="41" t="str">
        <f aca="false">IF(OR(E9="",D9=0),"—",IF(E9/D9&gt;=0.9,"✅ ON TRACK",IF(E9/D9&gt;=0.7,"⚠️ WATCH","🚨 ALERT")))</f>
        <v>—</v>
      </c>
      <c r="H9" s="33" t="n">
        <v>44</v>
      </c>
      <c r="I9" s="31"/>
      <c r="J9" s="40" t="str">
        <f aca="false">IF(I9="","",I9-H9)</f>
        <v/>
      </c>
      <c r="K9" s="41" t="str">
        <f aca="false">IF(OR(I9="",H9=0),"—",IF(I9/H9&gt;=0.9,"✅ ON TRACK",IF(I9/H9&gt;=0.7,"⚠️ WATCH","🚨 ALERT")))</f>
        <v>—</v>
      </c>
      <c r="L9" s="34" t="n">
        <v>10</v>
      </c>
      <c r="M9" s="31"/>
      <c r="N9" s="40" t="str">
        <f aca="false">IF(M9="","",M9-L9)</f>
        <v/>
      </c>
      <c r="O9" s="41" t="str">
        <f aca="false">IF(OR(M9="",L9=0),"—",IF(M9/L9&gt;=0.9,"✅ ON TRACK",IF(M9/L9&gt;=0.7,"⚠️ WATCH","🚨 ALERT")))</f>
        <v>—</v>
      </c>
      <c r="P9" s="35" t="n">
        <v>104</v>
      </c>
      <c r="Q9" s="31"/>
      <c r="R9" s="40" t="str">
        <f aca="false">IF(Q9="","",Q9-P9)</f>
        <v/>
      </c>
      <c r="S9" s="41" t="str">
        <f aca="false">IF(OR(Q9="",P9=0),"—",IF(Q9/P9&gt;=0.9,"✅ ON TRACK",IF(Q9/P9&gt;=0.7,"⚠️ WATCH","🚨 ALERT")))</f>
        <v>—</v>
      </c>
      <c r="T9" s="36" t="n">
        <v>27</v>
      </c>
      <c r="U9" s="31"/>
      <c r="V9" s="40" t="str">
        <f aca="false">IF(U9="","",U9-T9)</f>
        <v/>
      </c>
      <c r="W9" s="41" t="str">
        <f aca="false">IF(OR(U9="",T9=0),"—",IF(U9/T9&gt;=0.9,"✅ ON TRACK",IF(U9/T9&gt;=0.7,"⚠️ WATCH","🚨 ALERT")))</f>
        <v>—</v>
      </c>
      <c r="X9" s="42" t="n">
        <f aca="false">IFERROR(AVERAGE(IF(E9&lt;&gt;"",E9/D9),IF(I9&lt;&gt;"",I9/H9),IF(M9&lt;&gt;"",M9/L9),IF(Q9&lt;&gt;"",Q9/P9),IF(U9&lt;&gt;"",U9/T9)),"")</f>
        <v>0</v>
      </c>
      <c r="Y9" s="13" t="str">
        <f aca="false">IFERROR(IF(AND(E9&lt;&gt;"",I9&lt;&gt;"",E9/D9&gt;0.9,I9/H9&lt;0.7),"⚠️ Volume w/o BTS | ","")&amp;IF(AND(M9&lt;&gt;"",M9=0),"🚨 ZERO HSI | ","")&amp;IF(AND(I9&lt;&gt;"",I9=0),"🚨 ZERO BTS | ","")&amp;IF(AND(E9&lt;&gt;"",U9&lt;&gt;"",E9/D9&gt;0.8,U9/T9&lt;0.6),"⚠️ Weak MIMS | ","")&amp;IF(AND(E9&lt;&gt;"",M9&lt;&gt;"",E9/D9&gt;0.85,M9/L9&lt;0.65),"⚠️ No Full Solution | ",""),"—")</f>
        <v/>
      </c>
      <c r="Z9" s="43" t="s">
        <v>48</v>
      </c>
    </row>
    <row r="10" customFormat="false" ht="19.5" hidden="false" customHeight="true" outlineLevel="0" collapsed="false">
      <c r="A10" s="29" t="n">
        <v>7</v>
      </c>
      <c r="B10" s="10" t="s">
        <v>49</v>
      </c>
      <c r="C10" s="9" t="s">
        <v>50</v>
      </c>
      <c r="D10" s="30" t="n">
        <v>182</v>
      </c>
      <c r="E10" s="31"/>
      <c r="F10" s="32" t="str">
        <f aca="false">IF(E10="","",E10-D10)</f>
        <v/>
      </c>
      <c r="G10" s="9" t="str">
        <f aca="false">IF(OR(E10="",D10=0),"—",IF(E10/D10&gt;=0.9,"✅ ON TRACK",IF(E10/D10&gt;=0.7,"⚠️ WATCH","🚨 ALERT")))</f>
        <v>—</v>
      </c>
      <c r="H10" s="33" t="n">
        <v>47</v>
      </c>
      <c r="I10" s="31"/>
      <c r="J10" s="32" t="str">
        <f aca="false">IF(I10="","",I10-H10)</f>
        <v/>
      </c>
      <c r="K10" s="9" t="str">
        <f aca="false">IF(OR(I10="",H10=0),"—",IF(I10/H10&gt;=0.9,"✅ ON TRACK",IF(I10/H10&gt;=0.7,"⚠️ WATCH","🚨 ALERT")))</f>
        <v>—</v>
      </c>
      <c r="L10" s="34" t="n">
        <v>17</v>
      </c>
      <c r="M10" s="31"/>
      <c r="N10" s="32" t="str">
        <f aca="false">IF(M10="","",M10-L10)</f>
        <v/>
      </c>
      <c r="O10" s="9" t="str">
        <f aca="false">IF(OR(M10="",L10=0),"—",IF(M10/L10&gt;=0.9,"✅ ON TRACK",IF(M10/L10&gt;=0.7,"⚠️ WATCH","🚨 ALERT")))</f>
        <v>—</v>
      </c>
      <c r="P10" s="35" t="n">
        <v>88</v>
      </c>
      <c r="Q10" s="31"/>
      <c r="R10" s="32" t="str">
        <f aca="false">IF(Q10="","",Q10-P10)</f>
        <v/>
      </c>
      <c r="S10" s="9" t="str">
        <f aca="false">IF(OR(Q10="",P10=0),"—",IF(Q10/P10&gt;=0.9,"✅ ON TRACK",IF(Q10/P10&gt;=0.7,"⚠️ WATCH","🚨 ALERT")))</f>
        <v>—</v>
      </c>
      <c r="T10" s="36" t="n">
        <v>22</v>
      </c>
      <c r="U10" s="31"/>
      <c r="V10" s="32" t="str">
        <f aca="false">IF(U10="","",U10-T10)</f>
        <v/>
      </c>
      <c r="W10" s="9" t="str">
        <f aca="false">IF(OR(U10="",T10=0),"—",IF(U10/T10&gt;=0.9,"✅ ON TRACK",IF(U10/T10&gt;=0.7,"⚠️ WATCH","🚨 ALERT")))</f>
        <v>—</v>
      </c>
      <c r="X10" s="37" t="n">
        <f aca="false">IFERROR(AVERAGE(IF(E10&lt;&gt;"",E10/D10),IF(I10&lt;&gt;"",I10/H10),IF(M10&lt;&gt;"",M10/L10),IF(Q10&lt;&gt;"",Q10/P10),IF(U10&lt;&gt;"",U10/T10)),"")</f>
        <v>0</v>
      </c>
      <c r="Y10" s="10" t="str">
        <f aca="false">IFERROR(IF(AND(E10&lt;&gt;"",I10&lt;&gt;"",E10/D10&gt;0.9,I10/H10&lt;0.7),"⚠️ Volume w/o BTS | ","")&amp;IF(AND(M10&lt;&gt;"",M10=0),"🚨 ZERO HSI | ","")&amp;IF(AND(I10&lt;&gt;"",I10=0),"🚨 ZERO BTS | ","")&amp;IF(AND(E10&lt;&gt;"",U10&lt;&gt;"",E10/D10&gt;0.8,U10/T10&lt;0.6),"⚠️ Weak MIMS | ","")&amp;IF(AND(E10&lt;&gt;"",M10&lt;&gt;"",E10/D10&gt;0.85,M10/L10&lt;0.65),"⚠️ No Full Solution | ",""),"—")</f>
        <v/>
      </c>
      <c r="Z10" s="38" t="s">
        <v>51</v>
      </c>
    </row>
    <row r="11" customFormat="false" ht="19.5" hidden="false" customHeight="true" outlineLevel="0" collapsed="false">
      <c r="A11" s="39" t="n">
        <v>8</v>
      </c>
      <c r="B11" s="13" t="s">
        <v>52</v>
      </c>
      <c r="C11" s="12" t="s">
        <v>50</v>
      </c>
      <c r="D11" s="30" t="n">
        <v>182</v>
      </c>
      <c r="E11" s="31"/>
      <c r="F11" s="40" t="str">
        <f aca="false">IF(E11="","",E11-D11)</f>
        <v/>
      </c>
      <c r="G11" s="41" t="str">
        <f aca="false">IF(OR(E11="",D11=0),"—",IF(E11/D11&gt;=0.9,"✅ ON TRACK",IF(E11/D11&gt;=0.7,"⚠️ WATCH","🚨 ALERT")))</f>
        <v>—</v>
      </c>
      <c r="H11" s="33" t="n">
        <v>42</v>
      </c>
      <c r="I11" s="31"/>
      <c r="J11" s="40" t="str">
        <f aca="false">IF(I11="","",I11-H11)</f>
        <v/>
      </c>
      <c r="K11" s="41" t="str">
        <f aca="false">IF(OR(I11="",H11=0),"—",IF(I11/H11&gt;=0.9,"✅ ON TRACK",IF(I11/H11&gt;=0.7,"⚠️ WATCH","🚨 ALERT")))</f>
        <v>—</v>
      </c>
      <c r="L11" s="34" t="n">
        <v>16</v>
      </c>
      <c r="M11" s="31"/>
      <c r="N11" s="40" t="str">
        <f aca="false">IF(M11="","",M11-L11)</f>
        <v/>
      </c>
      <c r="O11" s="41" t="str">
        <f aca="false">IF(OR(M11="",L11=0),"—",IF(M11/L11&gt;=0.9,"✅ ON TRACK",IF(M11/L11&gt;=0.7,"⚠️ WATCH","🚨 ALERT")))</f>
        <v>—</v>
      </c>
      <c r="P11" s="35" t="n">
        <v>104</v>
      </c>
      <c r="Q11" s="31"/>
      <c r="R11" s="40" t="str">
        <f aca="false">IF(Q11="","",Q11-P11)</f>
        <v/>
      </c>
      <c r="S11" s="41" t="str">
        <f aca="false">IF(OR(Q11="",P11=0),"—",IF(Q11/P11&gt;=0.9,"✅ ON TRACK",IF(Q11/P11&gt;=0.7,"⚠️ WATCH","🚨 ALERT")))</f>
        <v>—</v>
      </c>
      <c r="T11" s="36" t="n">
        <v>19</v>
      </c>
      <c r="U11" s="31"/>
      <c r="V11" s="40" t="str">
        <f aca="false">IF(U11="","",U11-T11)</f>
        <v/>
      </c>
      <c r="W11" s="41" t="str">
        <f aca="false">IF(OR(U11="",T11=0),"—",IF(U11/T11&gt;=0.9,"✅ ON TRACK",IF(U11/T11&gt;=0.7,"⚠️ WATCH","🚨 ALERT")))</f>
        <v>—</v>
      </c>
      <c r="X11" s="42" t="n">
        <f aca="false">IFERROR(AVERAGE(IF(E11&lt;&gt;"",E11/D11),IF(I11&lt;&gt;"",I11/H11),IF(M11&lt;&gt;"",M11/L11),IF(Q11&lt;&gt;"",Q11/P11),IF(U11&lt;&gt;"",U11/T11)),"")</f>
        <v>0</v>
      </c>
      <c r="Y11" s="13" t="str">
        <f aca="false">IFERROR(IF(AND(E11&lt;&gt;"",I11&lt;&gt;"",E11/D11&gt;0.9,I11/H11&lt;0.7),"⚠️ Volume w/o BTS | ","")&amp;IF(AND(M11&lt;&gt;"",M11=0),"🚨 ZERO HSI | ","")&amp;IF(AND(I11&lt;&gt;"",I11=0),"🚨 ZERO BTS | ","")&amp;IF(AND(E11&lt;&gt;"",U11&lt;&gt;"",E11/D11&gt;0.8,U11/T11&lt;0.6),"⚠️ Weak MIMS | ","")&amp;IF(AND(E11&lt;&gt;"",M11&lt;&gt;"",E11/D11&gt;0.85,M11/L11&lt;0.65),"⚠️ No Full Solution | ",""),"—")</f>
        <v/>
      </c>
      <c r="Z11" s="43" t="s">
        <v>53</v>
      </c>
    </row>
    <row r="12" customFormat="false" ht="19.5" hidden="false" customHeight="true" outlineLevel="0" collapsed="false">
      <c r="A12" s="29" t="n">
        <v>9</v>
      </c>
      <c r="B12" s="10" t="s">
        <v>54</v>
      </c>
      <c r="C12" s="9" t="s">
        <v>50</v>
      </c>
      <c r="D12" s="30" t="n">
        <v>169</v>
      </c>
      <c r="E12" s="31"/>
      <c r="F12" s="32" t="str">
        <f aca="false">IF(E12="","",E12-D12)</f>
        <v/>
      </c>
      <c r="G12" s="9" t="str">
        <f aca="false">IF(OR(E12="",D12=0),"—",IF(E12/D12&gt;=0.9,"✅ ON TRACK",IF(E12/D12&gt;=0.7,"⚠️ WATCH","🚨 ALERT")))</f>
        <v>—</v>
      </c>
      <c r="H12" s="33" t="n">
        <v>35</v>
      </c>
      <c r="I12" s="31"/>
      <c r="J12" s="32" t="str">
        <f aca="false">IF(I12="","",I12-H12)</f>
        <v/>
      </c>
      <c r="K12" s="9" t="str">
        <f aca="false">IF(OR(I12="",H12=0),"—",IF(I12/H12&gt;=0.9,"✅ ON TRACK",IF(I12/H12&gt;=0.7,"⚠️ WATCH","🚨 ALERT")))</f>
        <v>—</v>
      </c>
      <c r="L12" s="34" t="n">
        <v>16</v>
      </c>
      <c r="M12" s="31"/>
      <c r="N12" s="32" t="str">
        <f aca="false">IF(M12="","",M12-L12)</f>
        <v/>
      </c>
      <c r="O12" s="9" t="str">
        <f aca="false">IF(OR(M12="",L12=0),"—",IF(M12/L12&gt;=0.9,"✅ ON TRACK",IF(M12/L12&gt;=0.7,"⚠️ WATCH","🚨 ALERT")))</f>
        <v>—</v>
      </c>
      <c r="P12" s="35" t="n">
        <v>101</v>
      </c>
      <c r="Q12" s="31"/>
      <c r="R12" s="32" t="str">
        <f aca="false">IF(Q12="","",Q12-P12)</f>
        <v/>
      </c>
      <c r="S12" s="9" t="str">
        <f aca="false">IF(OR(Q12="",P12=0),"—",IF(Q12/P12&gt;=0.9,"✅ ON TRACK",IF(Q12/P12&gt;=0.7,"⚠️ WATCH","🚨 ALERT")))</f>
        <v>—</v>
      </c>
      <c r="T12" s="36" t="n">
        <v>24</v>
      </c>
      <c r="U12" s="31"/>
      <c r="V12" s="32" t="str">
        <f aca="false">IF(U12="","",U12-T12)</f>
        <v/>
      </c>
      <c r="W12" s="9" t="str">
        <f aca="false">IF(OR(U12="",T12=0),"—",IF(U12/T12&gt;=0.9,"✅ ON TRACK",IF(U12/T12&gt;=0.7,"⚠️ WATCH","🚨 ALERT")))</f>
        <v>—</v>
      </c>
      <c r="X12" s="37" t="n">
        <f aca="false">IFERROR(AVERAGE(IF(E12&lt;&gt;"",E12/D12),IF(I12&lt;&gt;"",I12/H12),IF(M12&lt;&gt;"",M12/L12),IF(Q12&lt;&gt;"",Q12/P12),IF(U12&lt;&gt;"",U12/T12)),"")</f>
        <v>0</v>
      </c>
      <c r="Y12" s="10" t="str">
        <f aca="false">IFERROR(IF(AND(E12&lt;&gt;"",I12&lt;&gt;"",E12/D12&gt;0.9,I12/H12&lt;0.7),"⚠️ Volume w/o BTS | ","")&amp;IF(AND(M12&lt;&gt;"",M12=0),"🚨 ZERO HSI | ","")&amp;IF(AND(I12&lt;&gt;"",I12=0),"🚨 ZERO BTS | ","")&amp;IF(AND(E12&lt;&gt;"",U12&lt;&gt;"",E12/D12&gt;0.8,U12/T12&lt;0.6),"⚠️ Weak MIMS | ","")&amp;IF(AND(E12&lt;&gt;"",M12&lt;&gt;"",E12/D12&gt;0.85,M12/L12&lt;0.65),"⚠️ No Full Solution | ",""),"—")</f>
        <v/>
      </c>
      <c r="Z12" s="38" t="s">
        <v>55</v>
      </c>
    </row>
    <row r="13" customFormat="false" ht="19.5" hidden="false" customHeight="true" outlineLevel="0" collapsed="false">
      <c r="A13" s="39" t="n">
        <v>10</v>
      </c>
      <c r="B13" s="13" t="s">
        <v>56</v>
      </c>
      <c r="C13" s="12" t="s">
        <v>37</v>
      </c>
      <c r="D13" s="30" t="n">
        <v>161</v>
      </c>
      <c r="E13" s="31"/>
      <c r="F13" s="40" t="str">
        <f aca="false">IF(E13="","",E13-D13)</f>
        <v/>
      </c>
      <c r="G13" s="41" t="str">
        <f aca="false">IF(OR(E13="",D13=0),"—",IF(E13/D13&gt;=0.9,"✅ ON TRACK",IF(E13/D13&gt;=0.7,"⚠️ WATCH","🚨 ALERT")))</f>
        <v>—</v>
      </c>
      <c r="H13" s="33" t="n">
        <v>36</v>
      </c>
      <c r="I13" s="31"/>
      <c r="J13" s="40" t="str">
        <f aca="false">IF(I13="","",I13-H13)</f>
        <v/>
      </c>
      <c r="K13" s="41" t="str">
        <f aca="false">IF(OR(I13="",H13=0),"—",IF(I13/H13&gt;=0.9,"✅ ON TRACK",IF(I13/H13&gt;=0.7,"⚠️ WATCH","🚨 ALERT")))</f>
        <v>—</v>
      </c>
      <c r="L13" s="34" t="n">
        <v>9</v>
      </c>
      <c r="M13" s="31"/>
      <c r="N13" s="40" t="str">
        <f aca="false">IF(M13="","",M13-L13)</f>
        <v/>
      </c>
      <c r="O13" s="41" t="str">
        <f aca="false">IF(OR(M13="",L13=0),"—",IF(M13/L13&gt;=0.9,"✅ ON TRACK",IF(M13/L13&gt;=0.7,"⚠️ WATCH","🚨 ALERT")))</f>
        <v>—</v>
      </c>
      <c r="P13" s="35" t="n">
        <v>93</v>
      </c>
      <c r="Q13" s="31"/>
      <c r="R13" s="40" t="str">
        <f aca="false">IF(Q13="","",Q13-P13)</f>
        <v/>
      </c>
      <c r="S13" s="41" t="str">
        <f aca="false">IF(OR(Q13="",P13=0),"—",IF(Q13/P13&gt;=0.9,"✅ ON TRACK",IF(Q13/P13&gt;=0.7,"⚠️ WATCH","🚨 ALERT")))</f>
        <v>—</v>
      </c>
      <c r="T13" s="36" t="n">
        <v>24</v>
      </c>
      <c r="U13" s="31"/>
      <c r="V13" s="40" t="str">
        <f aca="false">IF(U13="","",U13-T13)</f>
        <v/>
      </c>
      <c r="W13" s="41" t="str">
        <f aca="false">IF(OR(U13="",T13=0),"—",IF(U13/T13&gt;=0.9,"✅ ON TRACK",IF(U13/T13&gt;=0.7,"⚠️ WATCH","🚨 ALERT")))</f>
        <v>—</v>
      </c>
      <c r="X13" s="42" t="n">
        <f aca="false">IFERROR(AVERAGE(IF(E13&lt;&gt;"",E13/D13),IF(I13&lt;&gt;"",I13/H13),IF(M13&lt;&gt;"",M13/L13),IF(Q13&lt;&gt;"",Q13/P13),IF(U13&lt;&gt;"",U13/T13)),"")</f>
        <v>0</v>
      </c>
      <c r="Y13" s="13" t="str">
        <f aca="false">IFERROR(IF(AND(E13&lt;&gt;"",I13&lt;&gt;"",E13/D13&gt;0.9,I13/H13&lt;0.7),"⚠️ Volume w/o BTS | ","")&amp;IF(AND(M13&lt;&gt;"",M13=0),"🚨 ZERO HSI | ","")&amp;IF(AND(I13&lt;&gt;"",I13=0),"🚨 ZERO BTS | ","")&amp;IF(AND(E13&lt;&gt;"",U13&lt;&gt;"",E13/D13&gt;0.8,U13/T13&lt;0.6),"⚠️ Weak MIMS | ","")&amp;IF(AND(E13&lt;&gt;"",M13&lt;&gt;"",E13/D13&gt;0.85,M13/L13&lt;0.65),"⚠️ No Full Solution | ",""),"—")</f>
        <v/>
      </c>
      <c r="Z13" s="43" t="s">
        <v>57</v>
      </c>
    </row>
    <row r="14" customFormat="false" ht="19.5" hidden="false" customHeight="true" outlineLevel="0" collapsed="false">
      <c r="A14" s="29" t="n">
        <v>11</v>
      </c>
      <c r="B14" s="10" t="s">
        <v>58</v>
      </c>
      <c r="C14" s="9" t="s">
        <v>37</v>
      </c>
      <c r="D14" s="30" t="n">
        <v>153</v>
      </c>
      <c r="E14" s="31"/>
      <c r="F14" s="32" t="str">
        <f aca="false">IF(E14="","",E14-D14)</f>
        <v/>
      </c>
      <c r="G14" s="9" t="str">
        <f aca="false">IF(OR(E14="",D14=0),"—",IF(E14/D14&gt;=0.9,"✅ ON TRACK",IF(E14/D14&gt;=0.7,"⚠️ WATCH","🚨 ALERT")))</f>
        <v>—</v>
      </c>
      <c r="H14" s="33" t="n">
        <v>38</v>
      </c>
      <c r="I14" s="31"/>
      <c r="J14" s="32" t="str">
        <f aca="false">IF(I14="","",I14-H14)</f>
        <v/>
      </c>
      <c r="K14" s="9" t="str">
        <f aca="false">IF(OR(I14="",H14=0),"—",IF(I14/H14&gt;=0.9,"✅ ON TRACK",IF(I14/H14&gt;=0.7,"⚠️ WATCH","🚨 ALERT")))</f>
        <v>—</v>
      </c>
      <c r="L14" s="34" t="n">
        <v>9</v>
      </c>
      <c r="M14" s="31"/>
      <c r="N14" s="32" t="str">
        <f aca="false">IF(M14="","",M14-L14)</f>
        <v/>
      </c>
      <c r="O14" s="9" t="str">
        <f aca="false">IF(OR(M14="",L14=0),"—",IF(M14/L14&gt;=0.9,"✅ ON TRACK",IF(M14/L14&gt;=0.7,"⚠️ WATCH","🚨 ALERT")))</f>
        <v>—</v>
      </c>
      <c r="P14" s="35" t="n">
        <v>81</v>
      </c>
      <c r="Q14" s="31"/>
      <c r="R14" s="32" t="str">
        <f aca="false">IF(Q14="","",Q14-P14)</f>
        <v/>
      </c>
      <c r="S14" s="9" t="str">
        <f aca="false">IF(OR(Q14="",P14=0),"—",IF(Q14/P14&gt;=0.9,"✅ ON TRACK",IF(Q14/P14&gt;=0.7,"⚠️ WATCH","🚨 ALERT")))</f>
        <v>—</v>
      </c>
      <c r="T14" s="36" t="n">
        <v>31</v>
      </c>
      <c r="U14" s="31"/>
      <c r="V14" s="32" t="str">
        <f aca="false">IF(U14="","",U14-T14)</f>
        <v/>
      </c>
      <c r="W14" s="9" t="str">
        <f aca="false">IF(OR(U14="",T14=0),"—",IF(U14/T14&gt;=0.9,"✅ ON TRACK",IF(U14/T14&gt;=0.7,"⚠️ WATCH","🚨 ALERT")))</f>
        <v>—</v>
      </c>
      <c r="X14" s="37" t="n">
        <f aca="false">IFERROR(AVERAGE(IF(E14&lt;&gt;"",E14/D14),IF(I14&lt;&gt;"",I14/H14),IF(M14&lt;&gt;"",M14/L14),IF(Q14&lt;&gt;"",Q14/P14),IF(U14&lt;&gt;"",U14/T14)),"")</f>
        <v>0</v>
      </c>
      <c r="Y14" s="10" t="str">
        <f aca="false">IFERROR(IF(AND(E14&lt;&gt;"",I14&lt;&gt;"",E14/D14&gt;0.9,I14/H14&lt;0.7),"⚠️ Volume w/o BTS | ","")&amp;IF(AND(M14&lt;&gt;"",M14=0),"🚨 ZERO HSI | ","")&amp;IF(AND(I14&lt;&gt;"",I14=0),"🚨 ZERO BTS | ","")&amp;IF(AND(E14&lt;&gt;"",U14&lt;&gt;"",E14/D14&gt;0.8,U14/T14&lt;0.6),"⚠️ Weak MIMS | ","")&amp;IF(AND(E14&lt;&gt;"",M14&lt;&gt;"",E14/D14&gt;0.85,M14/L14&lt;0.65),"⚠️ No Full Solution | ",""),"—")</f>
        <v/>
      </c>
      <c r="Z14" s="38" t="s">
        <v>59</v>
      </c>
    </row>
    <row r="15" customFormat="false" ht="19.5" hidden="false" customHeight="true" outlineLevel="0" collapsed="false">
      <c r="A15" s="39" t="n">
        <v>12</v>
      </c>
      <c r="B15" s="13" t="s">
        <v>60</v>
      </c>
      <c r="C15" s="12" t="s">
        <v>37</v>
      </c>
      <c r="D15" s="30" t="n">
        <v>141</v>
      </c>
      <c r="E15" s="31"/>
      <c r="F15" s="40" t="str">
        <f aca="false">IF(E15="","",E15-D15)</f>
        <v/>
      </c>
      <c r="G15" s="41" t="str">
        <f aca="false">IF(OR(E15="",D15=0),"—",IF(E15/D15&gt;=0.9,"✅ ON TRACK",IF(E15/D15&gt;=0.7,"⚠️ WATCH","🚨 ALERT")))</f>
        <v>—</v>
      </c>
      <c r="H15" s="33" t="n">
        <v>39</v>
      </c>
      <c r="I15" s="31"/>
      <c r="J15" s="40" t="str">
        <f aca="false">IF(I15="","",I15-H15)</f>
        <v/>
      </c>
      <c r="K15" s="41" t="str">
        <f aca="false">IF(OR(I15="",H15=0),"—",IF(I15/H15&gt;=0.9,"✅ ON TRACK",IF(I15/H15&gt;=0.7,"⚠️ WATCH","🚨 ALERT")))</f>
        <v>—</v>
      </c>
      <c r="L15" s="34" t="n">
        <v>8</v>
      </c>
      <c r="M15" s="31"/>
      <c r="N15" s="40" t="str">
        <f aca="false">IF(M15="","",M15-L15)</f>
        <v/>
      </c>
      <c r="O15" s="41" t="str">
        <f aca="false">IF(OR(M15="",L15=0),"—",IF(M15/L15&gt;=0.9,"✅ ON TRACK",IF(M15/L15&gt;=0.7,"⚠️ WATCH","🚨 ALERT")))</f>
        <v>—</v>
      </c>
      <c r="P15" s="35" t="n">
        <v>71</v>
      </c>
      <c r="Q15" s="31"/>
      <c r="R15" s="40" t="str">
        <f aca="false">IF(Q15="","",Q15-P15)</f>
        <v/>
      </c>
      <c r="S15" s="41" t="str">
        <f aca="false">IF(OR(Q15="",P15=0),"—",IF(Q15/P15&gt;=0.9,"✅ ON TRACK",IF(Q15/P15&gt;=0.7,"⚠️ WATCH","🚨 ALERT")))</f>
        <v>—</v>
      </c>
      <c r="T15" s="36" t="n">
        <v>21</v>
      </c>
      <c r="U15" s="31"/>
      <c r="V15" s="40" t="str">
        <f aca="false">IF(U15="","",U15-T15)</f>
        <v/>
      </c>
      <c r="W15" s="41" t="str">
        <f aca="false">IF(OR(U15="",T15=0),"—",IF(U15/T15&gt;=0.9,"✅ ON TRACK",IF(U15/T15&gt;=0.7,"⚠️ WATCH","🚨 ALERT")))</f>
        <v>—</v>
      </c>
      <c r="X15" s="42" t="n">
        <f aca="false">IFERROR(AVERAGE(IF(E15&lt;&gt;"",E15/D15),IF(I15&lt;&gt;"",I15/H15),IF(M15&lt;&gt;"",M15/L15),IF(Q15&lt;&gt;"",Q15/P15),IF(U15&lt;&gt;"",U15/T15)),"")</f>
        <v>0</v>
      </c>
      <c r="Y15" s="13" t="str">
        <f aca="false">IFERROR(IF(AND(E15&lt;&gt;"",I15&lt;&gt;"",E15/D15&gt;0.9,I15/H15&lt;0.7),"⚠️ Volume w/o BTS | ","")&amp;IF(AND(M15&lt;&gt;"",M15=0),"🚨 ZERO HSI | ","")&amp;IF(AND(I15&lt;&gt;"",I15=0),"🚨 ZERO BTS | ","")&amp;IF(AND(E15&lt;&gt;"",U15&lt;&gt;"",E15/D15&gt;0.8,U15/T15&lt;0.6),"⚠️ Weak MIMS | ","")&amp;IF(AND(E15&lt;&gt;"",M15&lt;&gt;"",E15/D15&gt;0.85,M15/L15&lt;0.65),"⚠️ No Full Solution | ",""),"—")</f>
        <v/>
      </c>
      <c r="Z15" s="43" t="s">
        <v>61</v>
      </c>
    </row>
    <row r="16" customFormat="false" ht="19.5" hidden="false" customHeight="true" outlineLevel="0" collapsed="false">
      <c r="A16" s="29" t="n">
        <v>13</v>
      </c>
      <c r="B16" s="10" t="s">
        <v>62</v>
      </c>
      <c r="C16" s="9" t="s">
        <v>63</v>
      </c>
      <c r="D16" s="30" t="n">
        <v>141</v>
      </c>
      <c r="E16" s="31"/>
      <c r="F16" s="32" t="str">
        <f aca="false">IF(E16="","",E16-D16)</f>
        <v/>
      </c>
      <c r="G16" s="9" t="str">
        <f aca="false">IF(OR(E16="",D16=0),"—",IF(E16/D16&gt;=0.9,"✅ ON TRACK",IF(E16/D16&gt;=0.7,"⚠️ WATCH","🚨 ALERT")))</f>
        <v>—</v>
      </c>
      <c r="H16" s="33" t="n">
        <v>31</v>
      </c>
      <c r="I16" s="31"/>
      <c r="J16" s="32" t="str">
        <f aca="false">IF(I16="","",I16-H16)</f>
        <v/>
      </c>
      <c r="K16" s="9" t="str">
        <f aca="false">IF(OR(I16="",H16=0),"—",IF(I16/H16&gt;=0.9,"✅ ON TRACK",IF(I16/H16&gt;=0.7,"⚠️ WATCH","🚨 ALERT")))</f>
        <v>—</v>
      </c>
      <c r="L16" s="34" t="n">
        <v>14</v>
      </c>
      <c r="M16" s="31"/>
      <c r="N16" s="32" t="str">
        <f aca="false">IF(M16="","",M16-L16)</f>
        <v/>
      </c>
      <c r="O16" s="9" t="str">
        <f aca="false">IF(OR(M16="",L16=0),"—",IF(M16/L16&gt;=0.9,"✅ ON TRACK",IF(M16/L16&gt;=0.7,"⚠️ WATCH","🚨 ALERT")))</f>
        <v>—</v>
      </c>
      <c r="P16" s="35" t="n">
        <v>81</v>
      </c>
      <c r="Q16" s="31"/>
      <c r="R16" s="32" t="str">
        <f aca="false">IF(Q16="","",Q16-P16)</f>
        <v/>
      </c>
      <c r="S16" s="9" t="str">
        <f aca="false">IF(OR(Q16="",P16=0),"—",IF(Q16/P16&gt;=0.9,"✅ ON TRACK",IF(Q16/P16&gt;=0.7,"⚠️ WATCH","🚨 ALERT")))</f>
        <v>—</v>
      </c>
      <c r="T16" s="36" t="n">
        <v>16</v>
      </c>
      <c r="U16" s="31"/>
      <c r="V16" s="32" t="str">
        <f aca="false">IF(U16="","",U16-T16)</f>
        <v/>
      </c>
      <c r="W16" s="9" t="str">
        <f aca="false">IF(OR(U16="",T16=0),"—",IF(U16/T16&gt;=0.9,"✅ ON TRACK",IF(U16/T16&gt;=0.7,"⚠️ WATCH","🚨 ALERT")))</f>
        <v>—</v>
      </c>
      <c r="X16" s="37" t="n">
        <f aca="false">IFERROR(AVERAGE(IF(E16&lt;&gt;"",E16/D16),IF(I16&lt;&gt;"",I16/H16),IF(M16&lt;&gt;"",M16/L16),IF(Q16&lt;&gt;"",Q16/P16),IF(U16&lt;&gt;"",U16/T16)),"")</f>
        <v>0</v>
      </c>
      <c r="Y16" s="10" t="str">
        <f aca="false">IFERROR(IF(AND(E16&lt;&gt;"",I16&lt;&gt;"",E16/D16&gt;0.9,I16/H16&lt;0.7),"⚠️ Volume w/o BTS | ","")&amp;IF(AND(M16&lt;&gt;"",M16=0),"🚨 ZERO HSI | ","")&amp;IF(AND(I16&lt;&gt;"",I16=0),"🚨 ZERO BTS | ","")&amp;IF(AND(E16&lt;&gt;"",U16&lt;&gt;"",E16/D16&gt;0.8,U16/T16&lt;0.6),"⚠️ Weak MIMS | ","")&amp;IF(AND(E16&lt;&gt;"",M16&lt;&gt;"",E16/D16&gt;0.85,M16/L16&lt;0.65),"⚠️ No Full Solution | ",""),"—")</f>
        <v/>
      </c>
      <c r="Z16" s="38" t="s">
        <v>64</v>
      </c>
    </row>
    <row r="17" customFormat="false" ht="19.5" hidden="false" customHeight="true" outlineLevel="0" collapsed="false">
      <c r="A17" s="39" t="n">
        <v>14</v>
      </c>
      <c r="B17" s="13" t="s">
        <v>65</v>
      </c>
      <c r="C17" s="12" t="s">
        <v>37</v>
      </c>
      <c r="D17" s="30" t="n">
        <v>131</v>
      </c>
      <c r="E17" s="31"/>
      <c r="F17" s="40" t="str">
        <f aca="false">IF(E17="","",E17-D17)</f>
        <v/>
      </c>
      <c r="G17" s="41" t="str">
        <f aca="false">IF(OR(E17="",D17=0),"—",IF(E17/D17&gt;=0.9,"✅ ON TRACK",IF(E17/D17&gt;=0.7,"⚠️ WATCH","🚨 ALERT")))</f>
        <v>—</v>
      </c>
      <c r="H17" s="33" t="n">
        <v>39</v>
      </c>
      <c r="I17" s="31"/>
      <c r="J17" s="40" t="str">
        <f aca="false">IF(I17="","",I17-H17)</f>
        <v/>
      </c>
      <c r="K17" s="41" t="str">
        <f aca="false">IF(OR(I17="",H17=0),"—",IF(I17/H17&gt;=0.9,"✅ ON TRACK",IF(I17/H17&gt;=0.7,"⚠️ WATCH","🚨 ALERT")))</f>
        <v>—</v>
      </c>
      <c r="L17" s="34" t="n">
        <v>8</v>
      </c>
      <c r="M17" s="31"/>
      <c r="N17" s="40" t="str">
        <f aca="false">IF(M17="","",M17-L17)</f>
        <v/>
      </c>
      <c r="O17" s="41" t="str">
        <f aca="false">IF(OR(M17="",L17=0),"—",IF(M17/L17&gt;=0.9,"✅ ON TRACK",IF(M17/L17&gt;=0.7,"⚠️ WATCH","🚨 ALERT")))</f>
        <v>—</v>
      </c>
      <c r="P17" s="35" t="n">
        <v>63</v>
      </c>
      <c r="Q17" s="31"/>
      <c r="R17" s="40" t="str">
        <f aca="false">IF(Q17="","",Q17-P17)</f>
        <v/>
      </c>
      <c r="S17" s="41" t="str">
        <f aca="false">IF(OR(Q17="",P17=0),"—",IF(Q17/P17&gt;=0.9,"✅ ON TRACK",IF(Q17/P17&gt;=0.7,"⚠️ WATCH","🚨 ALERT")))</f>
        <v>—</v>
      </c>
      <c r="T17" s="36" t="n">
        <v>19</v>
      </c>
      <c r="U17" s="31"/>
      <c r="V17" s="40" t="str">
        <f aca="false">IF(U17="","",U17-T17)</f>
        <v/>
      </c>
      <c r="W17" s="41" t="str">
        <f aca="false">IF(OR(U17="",T17=0),"—",IF(U17/T17&gt;=0.9,"✅ ON TRACK",IF(U17/T17&gt;=0.7,"⚠️ WATCH","🚨 ALERT")))</f>
        <v>—</v>
      </c>
      <c r="X17" s="42" t="n">
        <f aca="false">IFERROR(AVERAGE(IF(E17&lt;&gt;"",E17/D17),IF(I17&lt;&gt;"",I17/H17),IF(M17&lt;&gt;"",M17/L17),IF(Q17&lt;&gt;"",Q17/P17),IF(U17&lt;&gt;"",U17/T17)),"")</f>
        <v>0</v>
      </c>
      <c r="Y17" s="13" t="str">
        <f aca="false">IFERROR(IF(AND(E17&lt;&gt;"",I17&lt;&gt;"",E17/D17&gt;0.9,I17/H17&lt;0.7),"⚠️ Volume w/o BTS | ","")&amp;IF(AND(M17&lt;&gt;"",M17=0),"🚨 ZERO HSI | ","")&amp;IF(AND(I17&lt;&gt;"",I17=0),"🚨 ZERO BTS | ","")&amp;IF(AND(E17&lt;&gt;"",U17&lt;&gt;"",E17/D17&gt;0.8,U17/T17&lt;0.6),"⚠️ Weak MIMS | ","")&amp;IF(AND(E17&lt;&gt;"",M17&lt;&gt;"",E17/D17&gt;0.85,M17/L17&lt;0.65),"⚠️ No Full Solution | ",""),"—")</f>
        <v/>
      </c>
      <c r="Z17" s="43" t="s">
        <v>66</v>
      </c>
    </row>
    <row r="18" customFormat="false" ht="19.5" hidden="false" customHeight="true" outlineLevel="0" collapsed="false">
      <c r="A18" s="29" t="n">
        <v>15</v>
      </c>
      <c r="B18" s="10" t="s">
        <v>67</v>
      </c>
      <c r="C18" s="9" t="s">
        <v>37</v>
      </c>
      <c r="D18" s="30" t="n">
        <v>131</v>
      </c>
      <c r="E18" s="31"/>
      <c r="F18" s="32" t="str">
        <f aca="false">IF(E18="","",E18-D18)</f>
        <v/>
      </c>
      <c r="G18" s="9" t="str">
        <f aca="false">IF(OR(E18="",D18=0),"—",IF(E18/D18&gt;=0.9,"✅ ON TRACK",IF(E18/D18&gt;=0.7,"⚠️ WATCH","🚨 ALERT")))</f>
        <v>—</v>
      </c>
      <c r="H18" s="33" t="n">
        <v>32</v>
      </c>
      <c r="I18" s="31"/>
      <c r="J18" s="32" t="str">
        <f aca="false">IF(I18="","",I18-H18)</f>
        <v/>
      </c>
      <c r="K18" s="9" t="str">
        <f aca="false">IF(OR(I18="",H18=0),"—",IF(I18/H18&gt;=0.9,"✅ ON TRACK",IF(I18/H18&gt;=0.7,"⚠️ WATCH","🚨 ALERT")))</f>
        <v>—</v>
      </c>
      <c r="L18" s="34" t="n">
        <v>8</v>
      </c>
      <c r="M18" s="31"/>
      <c r="N18" s="32" t="str">
        <f aca="false">IF(M18="","",M18-L18)</f>
        <v/>
      </c>
      <c r="O18" s="9" t="str">
        <f aca="false">IF(OR(M18="",L18=0),"—",IF(M18/L18&gt;=0.9,"✅ ON TRACK",IF(M18/L18&gt;=0.7,"⚠️ WATCH","🚨 ALERT")))</f>
        <v>—</v>
      </c>
      <c r="P18" s="35" t="n">
        <v>70</v>
      </c>
      <c r="Q18" s="31"/>
      <c r="R18" s="32" t="str">
        <f aca="false">IF(Q18="","",Q18-P18)</f>
        <v/>
      </c>
      <c r="S18" s="9" t="str">
        <f aca="false">IF(OR(Q18="",P18=0),"—",IF(Q18/P18&gt;=0.9,"✅ ON TRACK",IF(Q18/P18&gt;=0.7,"⚠️ WATCH","🚨 ALERT")))</f>
        <v>—</v>
      </c>
      <c r="T18" s="36" t="n">
        <v>17</v>
      </c>
      <c r="U18" s="31"/>
      <c r="V18" s="32" t="str">
        <f aca="false">IF(U18="","",U18-T18)</f>
        <v/>
      </c>
      <c r="W18" s="9" t="str">
        <f aca="false">IF(OR(U18="",T18=0),"—",IF(U18/T18&gt;=0.9,"✅ ON TRACK",IF(U18/T18&gt;=0.7,"⚠️ WATCH","🚨 ALERT")))</f>
        <v>—</v>
      </c>
      <c r="X18" s="37" t="n">
        <f aca="false">IFERROR(AVERAGE(IF(E18&lt;&gt;"",E18/D18),IF(I18&lt;&gt;"",I18/H18),IF(M18&lt;&gt;"",M18/L18),IF(Q18&lt;&gt;"",Q18/P18),IF(U18&lt;&gt;"",U18/T18)),"")</f>
        <v>0</v>
      </c>
      <c r="Y18" s="10" t="str">
        <f aca="false">IFERROR(IF(AND(E18&lt;&gt;"",I18&lt;&gt;"",E18/D18&gt;0.9,I18/H18&lt;0.7),"⚠️ Volume w/o BTS | ","")&amp;IF(AND(M18&lt;&gt;"",M18=0),"🚨 ZERO HSI | ","")&amp;IF(AND(I18&lt;&gt;"",I18=0),"🚨 ZERO BTS | ","")&amp;IF(AND(E18&lt;&gt;"",U18&lt;&gt;"",E18/D18&gt;0.8,U18/T18&lt;0.6),"⚠️ Weak MIMS | ","")&amp;IF(AND(E18&lt;&gt;"",M18&lt;&gt;"",E18/D18&gt;0.85,M18/L18&lt;0.65),"⚠️ No Full Solution | ",""),"—")</f>
        <v/>
      </c>
      <c r="Z18" s="38" t="s">
        <v>68</v>
      </c>
    </row>
    <row r="19" customFormat="false" ht="19.5" hidden="false" customHeight="true" outlineLevel="0" collapsed="false">
      <c r="A19" s="39" t="n">
        <v>16</v>
      </c>
      <c r="B19" s="13" t="s">
        <v>69</v>
      </c>
      <c r="C19" s="12" t="s">
        <v>37</v>
      </c>
      <c r="D19" s="30" t="n">
        <v>129</v>
      </c>
      <c r="E19" s="31"/>
      <c r="F19" s="40" t="str">
        <f aca="false">IF(E19="","",E19-D19)</f>
        <v/>
      </c>
      <c r="G19" s="41" t="str">
        <f aca="false">IF(OR(E19="",D19=0),"—",IF(E19/D19&gt;=0.9,"✅ ON TRACK",IF(E19/D19&gt;=0.7,"⚠️ WATCH","🚨 ALERT")))</f>
        <v>—</v>
      </c>
      <c r="H19" s="33" t="n">
        <v>31</v>
      </c>
      <c r="I19" s="31"/>
      <c r="J19" s="40" t="str">
        <f aca="false">IF(I19="","",I19-H19)</f>
        <v/>
      </c>
      <c r="K19" s="41" t="str">
        <f aca="false">IF(OR(I19="",H19=0),"—",IF(I19/H19&gt;=0.9,"✅ ON TRACK",IF(I19/H19&gt;=0.7,"⚠️ WATCH","🚨 ALERT")))</f>
        <v>—</v>
      </c>
      <c r="L19" s="34" t="n">
        <v>9</v>
      </c>
      <c r="M19" s="31"/>
      <c r="N19" s="40" t="str">
        <f aca="false">IF(M19="","",M19-L19)</f>
        <v/>
      </c>
      <c r="O19" s="41" t="str">
        <f aca="false">IF(OR(M19="",L19=0),"—",IF(M19/L19&gt;=0.9,"✅ ON TRACK",IF(M19/L19&gt;=0.7,"⚠️ WATCH","🚨 ALERT")))</f>
        <v>—</v>
      </c>
      <c r="P19" s="35" t="n">
        <v>73</v>
      </c>
      <c r="Q19" s="31"/>
      <c r="R19" s="40" t="str">
        <f aca="false">IF(Q19="","",Q19-P19)</f>
        <v/>
      </c>
      <c r="S19" s="41" t="str">
        <f aca="false">IF(OR(Q19="",P19=0),"—",IF(Q19/P19&gt;=0.9,"✅ ON TRACK",IF(Q19/P19&gt;=0.7,"⚠️ WATCH","🚨 ALERT")))</f>
        <v>—</v>
      </c>
      <c r="T19" s="36" t="n">
        <v>19</v>
      </c>
      <c r="U19" s="31"/>
      <c r="V19" s="40" t="str">
        <f aca="false">IF(U19="","",U19-T19)</f>
        <v/>
      </c>
      <c r="W19" s="41" t="str">
        <f aca="false">IF(OR(U19="",T19=0),"—",IF(U19/T19&gt;=0.9,"✅ ON TRACK",IF(U19/T19&gt;=0.7,"⚠️ WATCH","🚨 ALERT")))</f>
        <v>—</v>
      </c>
      <c r="X19" s="42" t="n">
        <f aca="false">IFERROR(AVERAGE(IF(E19&lt;&gt;"",E19/D19),IF(I19&lt;&gt;"",I19/H19),IF(M19&lt;&gt;"",M19/L19),IF(Q19&lt;&gt;"",Q19/P19),IF(U19&lt;&gt;"",U19/T19)),"")</f>
        <v>0</v>
      </c>
      <c r="Y19" s="13" t="str">
        <f aca="false">IFERROR(IF(AND(E19&lt;&gt;"",I19&lt;&gt;"",E19/D19&gt;0.9,I19/H19&lt;0.7),"⚠️ Volume w/o BTS | ","")&amp;IF(AND(M19&lt;&gt;"",M19=0),"🚨 ZERO HSI | ","")&amp;IF(AND(I19&lt;&gt;"",I19=0),"🚨 ZERO BTS | ","")&amp;IF(AND(E19&lt;&gt;"",U19&lt;&gt;"",E19/D19&gt;0.8,U19/T19&lt;0.6),"⚠️ Weak MIMS | ","")&amp;IF(AND(E19&lt;&gt;"",M19&lt;&gt;"",E19/D19&gt;0.85,M19/L19&lt;0.65),"⚠️ No Full Solution | ",""),"—")</f>
        <v/>
      </c>
      <c r="Z19" s="43" t="s">
        <v>70</v>
      </c>
    </row>
    <row r="20" customFormat="false" ht="19.5" hidden="false" customHeight="true" outlineLevel="0" collapsed="false">
      <c r="A20" s="29" t="n">
        <v>17</v>
      </c>
      <c r="B20" s="10" t="s">
        <v>71</v>
      </c>
      <c r="C20" s="9" t="s">
        <v>37</v>
      </c>
      <c r="D20" s="30" t="n">
        <v>128</v>
      </c>
      <c r="E20" s="31"/>
      <c r="F20" s="32" t="str">
        <f aca="false">IF(E20="","",E20-D20)</f>
        <v/>
      </c>
      <c r="G20" s="9" t="str">
        <f aca="false">IF(OR(E20="",D20=0),"—",IF(E20/D20&gt;=0.9,"✅ ON TRACK",IF(E20/D20&gt;=0.7,"⚠️ WATCH","🚨 ALERT")))</f>
        <v>—</v>
      </c>
      <c r="H20" s="33" t="n">
        <v>35</v>
      </c>
      <c r="I20" s="31"/>
      <c r="J20" s="32" t="str">
        <f aca="false">IF(I20="","",I20-H20)</f>
        <v/>
      </c>
      <c r="K20" s="9" t="str">
        <f aca="false">IF(OR(I20="",H20=0),"—",IF(I20/H20&gt;=0.9,"✅ ON TRACK",IF(I20/H20&gt;=0.7,"⚠️ WATCH","🚨 ALERT")))</f>
        <v>—</v>
      </c>
      <c r="L20" s="34" t="n">
        <v>8</v>
      </c>
      <c r="M20" s="31"/>
      <c r="N20" s="32" t="str">
        <f aca="false">IF(M20="","",M20-L20)</f>
        <v/>
      </c>
      <c r="O20" s="9" t="str">
        <f aca="false">IF(OR(M20="",L20=0),"—",IF(M20/L20&gt;=0.9,"✅ ON TRACK",IF(M20/L20&gt;=0.7,"⚠️ WATCH","🚨 ALERT")))</f>
        <v>—</v>
      </c>
      <c r="P20" s="35" t="n">
        <v>64</v>
      </c>
      <c r="Q20" s="31"/>
      <c r="R20" s="32" t="str">
        <f aca="false">IF(Q20="","",Q20-P20)</f>
        <v/>
      </c>
      <c r="S20" s="9" t="str">
        <f aca="false">IF(OR(Q20="",P20=0),"—",IF(Q20/P20&gt;=0.9,"✅ ON TRACK",IF(Q20/P20&gt;=0.7,"⚠️ WATCH","🚨 ALERT")))</f>
        <v>—</v>
      </c>
      <c r="T20" s="36" t="n">
        <v>22</v>
      </c>
      <c r="U20" s="31"/>
      <c r="V20" s="32" t="str">
        <f aca="false">IF(U20="","",U20-T20)</f>
        <v/>
      </c>
      <c r="W20" s="9" t="str">
        <f aca="false">IF(OR(U20="",T20=0),"—",IF(U20/T20&gt;=0.9,"✅ ON TRACK",IF(U20/T20&gt;=0.7,"⚠️ WATCH","🚨 ALERT")))</f>
        <v>—</v>
      </c>
      <c r="X20" s="37" t="n">
        <f aca="false">IFERROR(AVERAGE(IF(E20&lt;&gt;"",E20/D20),IF(I20&lt;&gt;"",I20/H20),IF(M20&lt;&gt;"",M20/L20),IF(Q20&lt;&gt;"",Q20/P20),IF(U20&lt;&gt;"",U20/T20)),"")</f>
        <v>0</v>
      </c>
      <c r="Y20" s="10" t="str">
        <f aca="false">IFERROR(IF(AND(E20&lt;&gt;"",I20&lt;&gt;"",E20/D20&gt;0.9,I20/H20&lt;0.7),"⚠️ Volume w/o BTS | ","")&amp;IF(AND(M20&lt;&gt;"",M20=0),"🚨 ZERO HSI | ","")&amp;IF(AND(I20&lt;&gt;"",I20=0),"🚨 ZERO BTS | ","")&amp;IF(AND(E20&lt;&gt;"",U20&lt;&gt;"",E20/D20&gt;0.8,U20/T20&lt;0.6),"⚠️ Weak MIMS | ","")&amp;IF(AND(E20&lt;&gt;"",M20&lt;&gt;"",E20/D20&gt;0.85,M20/L20&lt;0.65),"⚠️ No Full Solution | ",""),"—")</f>
        <v/>
      </c>
      <c r="Z20" s="38" t="s">
        <v>72</v>
      </c>
    </row>
    <row r="21" customFormat="false" ht="19.5" hidden="false" customHeight="true" outlineLevel="0" collapsed="false">
      <c r="A21" s="39" t="n">
        <v>18</v>
      </c>
      <c r="B21" s="13" t="s">
        <v>73</v>
      </c>
      <c r="C21" s="12" t="s">
        <v>37</v>
      </c>
      <c r="D21" s="30" t="n">
        <v>125</v>
      </c>
      <c r="E21" s="31"/>
      <c r="F21" s="40" t="str">
        <f aca="false">IF(E21="","",E21-D21)</f>
        <v/>
      </c>
      <c r="G21" s="41" t="str">
        <f aca="false">IF(OR(E21="",D21=0),"—",IF(E21/D21&gt;=0.9,"✅ ON TRACK",IF(E21/D21&gt;=0.7,"⚠️ WATCH","🚨 ALERT")))</f>
        <v>—</v>
      </c>
      <c r="H21" s="33" t="n">
        <v>36</v>
      </c>
      <c r="I21" s="31"/>
      <c r="J21" s="40" t="str">
        <f aca="false">IF(I21="","",I21-H21)</f>
        <v/>
      </c>
      <c r="K21" s="41" t="str">
        <f aca="false">IF(OR(I21="",H21=0),"—",IF(I21/H21&gt;=0.9,"✅ ON TRACK",IF(I21/H21&gt;=0.7,"⚠️ WATCH","🚨 ALERT")))</f>
        <v>—</v>
      </c>
      <c r="L21" s="34" t="n">
        <v>8</v>
      </c>
      <c r="M21" s="31"/>
      <c r="N21" s="40" t="str">
        <f aca="false">IF(M21="","",M21-L21)</f>
        <v/>
      </c>
      <c r="O21" s="41" t="str">
        <f aca="false">IF(OR(M21="",L21=0),"—",IF(M21/L21&gt;=0.9,"✅ ON TRACK",IF(M21/L21&gt;=0.7,"⚠️ WATCH","🚨 ALERT")))</f>
        <v>—</v>
      </c>
      <c r="P21" s="35" t="n">
        <v>61</v>
      </c>
      <c r="Q21" s="31"/>
      <c r="R21" s="40" t="str">
        <f aca="false">IF(Q21="","",Q21-P21)</f>
        <v/>
      </c>
      <c r="S21" s="41" t="str">
        <f aca="false">IF(OR(Q21="",P21=0),"—",IF(Q21/P21&gt;=0.9,"✅ ON TRACK",IF(Q21/P21&gt;=0.7,"⚠️ WATCH","🚨 ALERT")))</f>
        <v>—</v>
      </c>
      <c r="T21" s="36" t="n">
        <v>18</v>
      </c>
      <c r="U21" s="31"/>
      <c r="V21" s="40" t="str">
        <f aca="false">IF(U21="","",U21-T21)</f>
        <v/>
      </c>
      <c r="W21" s="41" t="str">
        <f aca="false">IF(OR(U21="",T21=0),"—",IF(U21/T21&gt;=0.9,"✅ ON TRACK",IF(U21/T21&gt;=0.7,"⚠️ WATCH","🚨 ALERT")))</f>
        <v>—</v>
      </c>
      <c r="X21" s="42" t="n">
        <f aca="false">IFERROR(AVERAGE(IF(E21&lt;&gt;"",E21/D21),IF(I21&lt;&gt;"",I21/H21),IF(M21&lt;&gt;"",M21/L21),IF(Q21&lt;&gt;"",Q21/P21),IF(U21&lt;&gt;"",U21/T21)),"")</f>
        <v>0</v>
      </c>
      <c r="Y21" s="13" t="str">
        <f aca="false">IFERROR(IF(AND(E21&lt;&gt;"",I21&lt;&gt;"",E21/D21&gt;0.9,I21/H21&lt;0.7),"⚠️ Volume w/o BTS | ","")&amp;IF(AND(M21&lt;&gt;"",M21=0),"🚨 ZERO HSI | ","")&amp;IF(AND(I21&lt;&gt;"",I21=0),"🚨 ZERO BTS | ","")&amp;IF(AND(E21&lt;&gt;"",U21&lt;&gt;"",E21/D21&gt;0.8,U21/T21&lt;0.6),"⚠️ Weak MIMS | ","")&amp;IF(AND(E21&lt;&gt;"",M21&lt;&gt;"",E21/D21&gt;0.85,M21/L21&lt;0.65),"⚠️ No Full Solution | ",""),"—")</f>
        <v/>
      </c>
      <c r="Z21" s="43" t="s">
        <v>74</v>
      </c>
    </row>
    <row r="22" customFormat="false" ht="19.5" hidden="false" customHeight="true" outlineLevel="0" collapsed="false">
      <c r="A22" s="29" t="n">
        <v>19</v>
      </c>
      <c r="B22" s="10" t="s">
        <v>75</v>
      </c>
      <c r="C22" s="9" t="s">
        <v>37</v>
      </c>
      <c r="D22" s="30" t="n">
        <v>119</v>
      </c>
      <c r="E22" s="31"/>
      <c r="F22" s="32" t="str">
        <f aca="false">IF(E22="","",E22-D22)</f>
        <v/>
      </c>
      <c r="G22" s="9" t="str">
        <f aca="false">IF(OR(E22="",D22=0),"—",IF(E22/D22&gt;=0.9,"✅ ON TRACK",IF(E22/D22&gt;=0.7,"⚠️ WATCH","🚨 ALERT")))</f>
        <v>—</v>
      </c>
      <c r="H22" s="33" t="n">
        <v>35</v>
      </c>
      <c r="I22" s="31"/>
      <c r="J22" s="32" t="str">
        <f aca="false">IF(I22="","",I22-H22)</f>
        <v/>
      </c>
      <c r="K22" s="9" t="str">
        <f aca="false">IF(OR(I22="",H22=0),"—",IF(I22/H22&gt;=0.9,"✅ ON TRACK",IF(I22/H22&gt;=0.7,"⚠️ WATCH","🚨 ALERT")))</f>
        <v>—</v>
      </c>
      <c r="L22" s="34" t="n">
        <v>8</v>
      </c>
      <c r="M22" s="31"/>
      <c r="N22" s="32" t="str">
        <f aca="false">IF(M22="","",M22-L22)</f>
        <v/>
      </c>
      <c r="O22" s="9" t="str">
        <f aca="false">IF(OR(M22="",L22=0),"—",IF(M22/L22&gt;=0.9,"✅ ON TRACK",IF(M22/L22&gt;=0.7,"⚠️ WATCH","🚨 ALERT")))</f>
        <v>—</v>
      </c>
      <c r="P22" s="35" t="n">
        <v>56</v>
      </c>
      <c r="Q22" s="31"/>
      <c r="R22" s="32" t="str">
        <f aca="false">IF(Q22="","",Q22-P22)</f>
        <v/>
      </c>
      <c r="S22" s="9" t="str">
        <f aca="false">IF(OR(Q22="",P22=0),"—",IF(Q22/P22&gt;=0.9,"✅ ON TRACK",IF(Q22/P22&gt;=0.7,"⚠️ WATCH","🚨 ALERT")))</f>
        <v>—</v>
      </c>
      <c r="T22" s="36" t="n">
        <v>19</v>
      </c>
      <c r="U22" s="31"/>
      <c r="V22" s="32" t="str">
        <f aca="false">IF(U22="","",U22-T22)</f>
        <v/>
      </c>
      <c r="W22" s="9" t="str">
        <f aca="false">IF(OR(U22="",T22=0),"—",IF(U22/T22&gt;=0.9,"✅ ON TRACK",IF(U22/T22&gt;=0.7,"⚠️ WATCH","🚨 ALERT")))</f>
        <v>—</v>
      </c>
      <c r="X22" s="37" t="n">
        <f aca="false">IFERROR(AVERAGE(IF(E22&lt;&gt;"",E22/D22),IF(I22&lt;&gt;"",I22/H22),IF(M22&lt;&gt;"",M22/L22),IF(Q22&lt;&gt;"",Q22/P22),IF(U22&lt;&gt;"",U22/T22)),"")</f>
        <v>0</v>
      </c>
      <c r="Y22" s="10" t="str">
        <f aca="false">IFERROR(IF(AND(E22&lt;&gt;"",I22&lt;&gt;"",E22/D22&gt;0.9,I22/H22&lt;0.7),"⚠️ Volume w/o BTS | ","")&amp;IF(AND(M22&lt;&gt;"",M22=0),"🚨 ZERO HSI | ","")&amp;IF(AND(I22&lt;&gt;"",I22=0),"🚨 ZERO BTS | ","")&amp;IF(AND(E22&lt;&gt;"",U22&lt;&gt;"",E22/D22&gt;0.8,U22/T22&lt;0.6),"⚠️ Weak MIMS | ","")&amp;IF(AND(E22&lt;&gt;"",M22&lt;&gt;"",E22/D22&gt;0.85,M22/L22&lt;0.65),"⚠️ No Full Solution | ",""),"—")</f>
        <v/>
      </c>
      <c r="Z22" s="38" t="s">
        <v>76</v>
      </c>
    </row>
    <row r="23" customFormat="false" ht="19.5" hidden="false" customHeight="true" outlineLevel="0" collapsed="false">
      <c r="A23" s="39" t="n">
        <v>20</v>
      </c>
      <c r="B23" s="13" t="s">
        <v>77</v>
      </c>
      <c r="C23" s="12" t="s">
        <v>37</v>
      </c>
      <c r="D23" s="30" t="n">
        <v>112</v>
      </c>
      <c r="E23" s="31"/>
      <c r="F23" s="40" t="str">
        <f aca="false">IF(E23="","",E23-D23)</f>
        <v/>
      </c>
      <c r="G23" s="41" t="str">
        <f aca="false">IF(OR(E23="",D23=0),"—",IF(E23/D23&gt;=0.9,"✅ ON TRACK",IF(E23/D23&gt;=0.7,"⚠️ WATCH","🚨 ALERT")))</f>
        <v>—</v>
      </c>
      <c r="H23" s="33" t="n">
        <v>29</v>
      </c>
      <c r="I23" s="31"/>
      <c r="J23" s="40" t="str">
        <f aca="false">IF(I23="","",I23-H23)</f>
        <v/>
      </c>
      <c r="K23" s="41" t="str">
        <f aca="false">IF(OR(I23="",H23=0),"—",IF(I23/H23&gt;=0.9,"✅ ON TRACK",IF(I23/H23&gt;=0.7,"⚠️ WATCH","🚨 ALERT")))</f>
        <v>—</v>
      </c>
      <c r="L23" s="34" t="n">
        <v>6</v>
      </c>
      <c r="M23" s="31"/>
      <c r="N23" s="40" t="str">
        <f aca="false">IF(M23="","",M23-L23)</f>
        <v/>
      </c>
      <c r="O23" s="41" t="str">
        <f aca="false">IF(OR(M23="",L23=0),"—",IF(M23/L23&gt;=0.9,"✅ ON TRACK",IF(M23/L23&gt;=0.7,"⚠️ WATCH","🚨 ALERT")))</f>
        <v>—</v>
      </c>
      <c r="P23" s="35" t="n">
        <v>62</v>
      </c>
      <c r="Q23" s="31"/>
      <c r="R23" s="40" t="str">
        <f aca="false">IF(Q23="","",Q23-P23)</f>
        <v/>
      </c>
      <c r="S23" s="41" t="str">
        <f aca="false">IF(OR(Q23="",P23=0),"—",IF(Q23/P23&gt;=0.9,"✅ ON TRACK",IF(Q23/P23&gt;=0.7,"⚠️ WATCH","🚨 ALERT")))</f>
        <v>—</v>
      </c>
      <c r="T23" s="36" t="n">
        <v>18</v>
      </c>
      <c r="U23" s="31"/>
      <c r="V23" s="40" t="str">
        <f aca="false">IF(U23="","",U23-T23)</f>
        <v/>
      </c>
      <c r="W23" s="41" t="str">
        <f aca="false">IF(OR(U23="",T23=0),"—",IF(U23/T23&gt;=0.9,"✅ ON TRACK",IF(U23/T23&gt;=0.7,"⚠️ WATCH","🚨 ALERT")))</f>
        <v>—</v>
      </c>
      <c r="X23" s="42" t="n">
        <f aca="false">IFERROR(AVERAGE(IF(E23&lt;&gt;"",E23/D23),IF(I23&lt;&gt;"",I23/H23),IF(M23&lt;&gt;"",M23/L23),IF(Q23&lt;&gt;"",Q23/P23),IF(U23&lt;&gt;"",U23/T23)),"")</f>
        <v>0</v>
      </c>
      <c r="Y23" s="13" t="str">
        <f aca="false">IFERROR(IF(AND(E23&lt;&gt;"",I23&lt;&gt;"",E23/D23&gt;0.9,I23/H23&lt;0.7),"⚠️ Volume w/o BTS | ","")&amp;IF(AND(M23&lt;&gt;"",M23=0),"🚨 ZERO HSI | ","")&amp;IF(AND(I23&lt;&gt;"",I23=0),"🚨 ZERO BTS | ","")&amp;IF(AND(E23&lt;&gt;"",U23&lt;&gt;"",E23/D23&gt;0.8,U23/T23&lt;0.6),"⚠️ Weak MIMS | ","")&amp;IF(AND(E23&lt;&gt;"",M23&lt;&gt;"",E23/D23&gt;0.85,M23/L23&lt;0.65),"⚠️ No Full Solution | ",""),"—")</f>
        <v/>
      </c>
      <c r="Z23" s="43" t="s">
        <v>78</v>
      </c>
    </row>
    <row r="24" customFormat="false" ht="19.5" hidden="false" customHeight="true" outlineLevel="0" collapsed="false">
      <c r="A24" s="29" t="n">
        <v>21</v>
      </c>
      <c r="B24" s="10" t="s">
        <v>79</v>
      </c>
      <c r="C24" s="9" t="s">
        <v>37</v>
      </c>
      <c r="D24" s="30" t="n">
        <v>109</v>
      </c>
      <c r="E24" s="31"/>
      <c r="F24" s="32" t="str">
        <f aca="false">IF(E24="","",E24-D24)</f>
        <v/>
      </c>
      <c r="G24" s="9" t="str">
        <f aca="false">IF(OR(E24="",D24=0),"—",IF(E24/D24&gt;=0.9,"✅ ON TRACK",IF(E24/D24&gt;=0.7,"⚠️ WATCH","🚨 ALERT")))</f>
        <v>—</v>
      </c>
      <c r="H24" s="33" t="n">
        <v>28</v>
      </c>
      <c r="I24" s="31"/>
      <c r="J24" s="32" t="str">
        <f aca="false">IF(I24="","",I24-H24)</f>
        <v/>
      </c>
      <c r="K24" s="9" t="str">
        <f aca="false">IF(OR(I24="",H24=0),"—",IF(I24/H24&gt;=0.9,"✅ ON TRACK",IF(I24/H24&gt;=0.7,"⚠️ WATCH","🚨 ALERT")))</f>
        <v>—</v>
      </c>
      <c r="L24" s="34" t="n">
        <v>8</v>
      </c>
      <c r="M24" s="31"/>
      <c r="N24" s="32" t="str">
        <f aca="false">IF(M24="","",M24-L24)</f>
        <v/>
      </c>
      <c r="O24" s="9" t="str">
        <f aca="false">IF(OR(M24="",L24=0),"—",IF(M24/L24&gt;=0.9,"✅ ON TRACK",IF(M24/L24&gt;=0.7,"⚠️ WATCH","🚨 ALERT")))</f>
        <v>—</v>
      </c>
      <c r="P24" s="35" t="n">
        <v>56</v>
      </c>
      <c r="Q24" s="31"/>
      <c r="R24" s="32" t="str">
        <f aca="false">IF(Q24="","",Q24-P24)</f>
        <v/>
      </c>
      <c r="S24" s="9" t="str">
        <f aca="false">IF(OR(Q24="",P24=0),"—",IF(Q24/P24&gt;=0.9,"✅ ON TRACK",IF(Q24/P24&gt;=0.7,"⚠️ WATCH","🚨 ALERT")))</f>
        <v>—</v>
      </c>
      <c r="T24" s="36" t="n">
        <v>17</v>
      </c>
      <c r="U24" s="31"/>
      <c r="V24" s="32" t="str">
        <f aca="false">IF(U24="","",U24-T24)</f>
        <v/>
      </c>
      <c r="W24" s="9" t="str">
        <f aca="false">IF(OR(U24="",T24=0),"—",IF(U24/T24&gt;=0.9,"✅ ON TRACK",IF(U24/T24&gt;=0.7,"⚠️ WATCH","🚨 ALERT")))</f>
        <v>—</v>
      </c>
      <c r="X24" s="37" t="n">
        <f aca="false">IFERROR(AVERAGE(IF(E24&lt;&gt;"",E24/D24),IF(I24&lt;&gt;"",I24/H24),IF(M24&lt;&gt;"",M24/L24),IF(Q24&lt;&gt;"",Q24/P24),IF(U24&lt;&gt;"",U24/T24)),"")</f>
        <v>0</v>
      </c>
      <c r="Y24" s="10" t="str">
        <f aca="false">IFERROR(IF(AND(E24&lt;&gt;"",I24&lt;&gt;"",E24/D24&gt;0.9,I24/H24&lt;0.7),"⚠️ Volume w/o BTS | ","")&amp;IF(AND(M24&lt;&gt;"",M24=0),"🚨 ZERO HSI | ","")&amp;IF(AND(I24&lt;&gt;"",I24=0),"🚨 ZERO BTS | ","")&amp;IF(AND(E24&lt;&gt;"",U24&lt;&gt;"",E24/D24&gt;0.8,U24/T24&lt;0.6),"⚠️ Weak MIMS | ","")&amp;IF(AND(E24&lt;&gt;"",M24&lt;&gt;"",E24/D24&gt;0.85,M24/L24&lt;0.65),"⚠️ No Full Solution | ",""),"—")</f>
        <v/>
      </c>
      <c r="Z24" s="38" t="s">
        <v>76</v>
      </c>
    </row>
    <row r="25" customFormat="false" ht="19.5" hidden="false" customHeight="true" outlineLevel="0" collapsed="false">
      <c r="A25" s="39" t="n">
        <v>22</v>
      </c>
      <c r="B25" s="13" t="s">
        <v>80</v>
      </c>
      <c r="C25" s="12" t="s">
        <v>37</v>
      </c>
      <c r="D25" s="30" t="n">
        <v>105</v>
      </c>
      <c r="E25" s="31"/>
      <c r="F25" s="40" t="str">
        <f aca="false">IF(E25="","",E25-D25)</f>
        <v/>
      </c>
      <c r="G25" s="41" t="str">
        <f aca="false">IF(OR(E25="",D25=0),"—",IF(E25/D25&gt;=0.9,"✅ ON TRACK",IF(E25/D25&gt;=0.7,"⚠️ WATCH","🚨 ALERT")))</f>
        <v>—</v>
      </c>
      <c r="H25" s="33" t="n">
        <v>24</v>
      </c>
      <c r="I25" s="31"/>
      <c r="J25" s="40" t="str">
        <f aca="false">IF(I25="","",I25-H25)</f>
        <v/>
      </c>
      <c r="K25" s="41" t="str">
        <f aca="false">IF(OR(I25="",H25=0),"—",IF(I25/H25&gt;=0.9,"✅ ON TRACK",IF(I25/H25&gt;=0.7,"⚠️ WATCH","🚨 ALERT")))</f>
        <v>—</v>
      </c>
      <c r="L25" s="34" t="n">
        <v>5</v>
      </c>
      <c r="M25" s="31"/>
      <c r="N25" s="40" t="str">
        <f aca="false">IF(M25="","",M25-L25)</f>
        <v/>
      </c>
      <c r="O25" s="41" t="str">
        <f aca="false">IF(OR(M25="",L25=0),"—",IF(M25/L25&gt;=0.9,"✅ ON TRACK",IF(M25/L25&gt;=0.7,"⚠️ WATCH","🚨 ALERT")))</f>
        <v>—</v>
      </c>
      <c r="P25" s="35" t="n">
        <v>58</v>
      </c>
      <c r="Q25" s="31"/>
      <c r="R25" s="40" t="str">
        <f aca="false">IF(Q25="","",Q25-P25)</f>
        <v/>
      </c>
      <c r="S25" s="41" t="str">
        <f aca="false">IF(OR(Q25="",P25=0),"—",IF(Q25/P25&gt;=0.9,"✅ ON TRACK",IF(Q25/P25&gt;=0.7,"⚠️ WATCH","🚨 ALERT")))</f>
        <v>—</v>
      </c>
      <c r="T25" s="36" t="n">
        <v>16</v>
      </c>
      <c r="U25" s="31"/>
      <c r="V25" s="40" t="str">
        <f aca="false">IF(U25="","",U25-T25)</f>
        <v/>
      </c>
      <c r="W25" s="41" t="str">
        <f aca="false">IF(OR(U25="",T25=0),"—",IF(U25/T25&gt;=0.9,"✅ ON TRACK",IF(U25/T25&gt;=0.7,"⚠️ WATCH","🚨 ALERT")))</f>
        <v>—</v>
      </c>
      <c r="X25" s="42" t="n">
        <f aca="false">IFERROR(AVERAGE(IF(E25&lt;&gt;"",E25/D25),IF(I25&lt;&gt;"",I25/H25),IF(M25&lt;&gt;"",M25/L25),IF(Q25&lt;&gt;"",Q25/P25),IF(U25&lt;&gt;"",U25/T25)),"")</f>
        <v>0</v>
      </c>
      <c r="Y25" s="13" t="str">
        <f aca="false">IFERROR(IF(AND(E25&lt;&gt;"",I25&lt;&gt;"",E25/D25&gt;0.9,I25/H25&lt;0.7),"⚠️ Volume w/o BTS | ","")&amp;IF(AND(M25&lt;&gt;"",M25=0),"🚨 ZERO HSI | ","")&amp;IF(AND(I25&lt;&gt;"",I25=0),"🚨 ZERO BTS | ","")&amp;IF(AND(E25&lt;&gt;"",U25&lt;&gt;"",E25/D25&gt;0.8,U25/T25&lt;0.6),"⚠️ Weak MIMS | ","")&amp;IF(AND(E25&lt;&gt;"",M25&lt;&gt;"",E25/D25&gt;0.85,M25/L25&lt;0.65),"⚠️ No Full Solution | ",""),"—")</f>
        <v/>
      </c>
      <c r="Z25" s="43" t="s">
        <v>81</v>
      </c>
    </row>
    <row r="26" customFormat="false" ht="19.5" hidden="false" customHeight="true" outlineLevel="0" collapsed="false">
      <c r="A26" s="29" t="n">
        <v>23</v>
      </c>
      <c r="B26" s="10" t="s">
        <v>82</v>
      </c>
      <c r="C26" s="9" t="s">
        <v>37</v>
      </c>
      <c r="D26" s="30" t="n">
        <v>101</v>
      </c>
      <c r="E26" s="31"/>
      <c r="F26" s="32" t="str">
        <f aca="false">IF(E26="","",E26-D26)</f>
        <v/>
      </c>
      <c r="G26" s="9" t="str">
        <f aca="false">IF(OR(E26="",D26=0),"—",IF(E26/D26&gt;=0.9,"✅ ON TRACK",IF(E26/D26&gt;=0.7,"⚠️ WATCH","🚨 ALERT")))</f>
        <v>—</v>
      </c>
      <c r="H26" s="33" t="n">
        <v>25</v>
      </c>
      <c r="I26" s="31"/>
      <c r="J26" s="32" t="str">
        <f aca="false">IF(I26="","",I26-H26)</f>
        <v/>
      </c>
      <c r="K26" s="9" t="str">
        <f aca="false">IF(OR(I26="",H26=0),"—",IF(I26/H26&gt;=0.9,"✅ ON TRACK",IF(I26/H26&gt;=0.7,"⚠️ WATCH","🚨 ALERT")))</f>
        <v>—</v>
      </c>
      <c r="L26" s="34" t="n">
        <v>8</v>
      </c>
      <c r="M26" s="31"/>
      <c r="N26" s="32" t="str">
        <f aca="false">IF(M26="","",M26-L26)</f>
        <v/>
      </c>
      <c r="O26" s="9" t="str">
        <f aca="false">IF(OR(M26="",L26=0),"—",IF(M26/L26&gt;=0.9,"✅ ON TRACK",IF(M26/L26&gt;=0.7,"⚠️ WATCH","🚨 ALERT")))</f>
        <v>—</v>
      </c>
      <c r="P26" s="35" t="n">
        <v>60</v>
      </c>
      <c r="Q26" s="31"/>
      <c r="R26" s="32" t="str">
        <f aca="false">IF(Q26="","",Q26-P26)</f>
        <v/>
      </c>
      <c r="S26" s="9" t="str">
        <f aca="false">IF(OR(Q26="",P26=0),"—",IF(Q26/P26&gt;=0.9,"✅ ON TRACK",IF(Q26/P26&gt;=0.7,"⚠️ WATCH","🚨 ALERT")))</f>
        <v>—</v>
      </c>
      <c r="T26" s="36" t="n">
        <v>21</v>
      </c>
      <c r="U26" s="31"/>
      <c r="V26" s="32" t="str">
        <f aca="false">IF(U26="","",U26-T26)</f>
        <v/>
      </c>
      <c r="W26" s="9" t="str">
        <f aca="false">IF(OR(U26="",T26=0),"—",IF(U26/T26&gt;=0.9,"✅ ON TRACK",IF(U26/T26&gt;=0.7,"⚠️ WATCH","🚨 ALERT")))</f>
        <v>—</v>
      </c>
      <c r="X26" s="37" t="n">
        <f aca="false">IFERROR(AVERAGE(IF(E26&lt;&gt;"",E26/D26),IF(I26&lt;&gt;"",I26/H26),IF(M26&lt;&gt;"",M26/L26),IF(Q26&lt;&gt;"",Q26/P26),IF(U26&lt;&gt;"",U26/T26)),"")</f>
        <v>0</v>
      </c>
      <c r="Y26" s="10" t="str">
        <f aca="false">IFERROR(IF(AND(E26&lt;&gt;"",I26&lt;&gt;"",E26/D26&gt;0.9,I26/H26&lt;0.7),"⚠️ Volume w/o BTS | ","")&amp;IF(AND(M26&lt;&gt;"",M26=0),"🚨 ZERO HSI | ","")&amp;IF(AND(I26&lt;&gt;"",I26=0),"🚨 ZERO BTS | ","")&amp;IF(AND(E26&lt;&gt;"",U26&lt;&gt;"",E26/D26&gt;0.8,U26/T26&lt;0.6),"⚠️ Weak MIMS | ","")&amp;IF(AND(E26&lt;&gt;"",M26&lt;&gt;"",E26/D26&gt;0.85,M26/L26&lt;0.65),"⚠️ No Full Solution | ",""),"—")</f>
        <v/>
      </c>
      <c r="Z26" s="38" t="s">
        <v>83</v>
      </c>
    </row>
    <row r="27" customFormat="false" ht="19.5" hidden="false" customHeight="true" outlineLevel="0" collapsed="false">
      <c r="A27" s="39" t="n">
        <v>24</v>
      </c>
      <c r="B27" s="13" t="s">
        <v>84</v>
      </c>
      <c r="C27" s="12" t="s">
        <v>37</v>
      </c>
      <c r="D27" s="30" t="n">
        <v>100</v>
      </c>
      <c r="E27" s="31"/>
      <c r="F27" s="40" t="str">
        <f aca="false">IF(E27="","",E27-D27)</f>
        <v/>
      </c>
      <c r="G27" s="41" t="str">
        <f aca="false">IF(OR(E27="",D27=0),"—",IF(E27/D27&gt;=0.9,"✅ ON TRACK",IF(E27/D27&gt;=0.7,"⚠️ WATCH","🚨 ALERT")))</f>
        <v>—</v>
      </c>
      <c r="H27" s="33" t="n">
        <v>22</v>
      </c>
      <c r="I27" s="31"/>
      <c r="J27" s="40" t="str">
        <f aca="false">IF(I27="","",I27-H27)</f>
        <v/>
      </c>
      <c r="K27" s="41" t="str">
        <f aca="false">IF(OR(I27="",H27=0),"—",IF(I27/H27&gt;=0.9,"✅ ON TRACK",IF(I27/H27&gt;=0.7,"⚠️ WATCH","🚨 ALERT")))</f>
        <v>—</v>
      </c>
      <c r="L27" s="34" t="n">
        <v>8</v>
      </c>
      <c r="M27" s="31"/>
      <c r="N27" s="40" t="str">
        <f aca="false">IF(M27="","",M27-L27)</f>
        <v/>
      </c>
      <c r="O27" s="41" t="str">
        <f aca="false">IF(OR(M27="",L27=0),"—",IF(M27/L27&gt;=0.9,"✅ ON TRACK",IF(M27/L27&gt;=0.7,"⚠️ WATCH","🚨 ALERT")))</f>
        <v>—</v>
      </c>
      <c r="P27" s="35" t="n">
        <v>54</v>
      </c>
      <c r="Q27" s="31"/>
      <c r="R27" s="40" t="str">
        <f aca="false">IF(Q27="","",Q27-P27)</f>
        <v/>
      </c>
      <c r="S27" s="41" t="str">
        <f aca="false">IF(OR(Q27="",P27=0),"—",IF(Q27/P27&gt;=0.9,"✅ ON TRACK",IF(Q27/P27&gt;=0.7,"⚠️ WATCH","🚨 ALERT")))</f>
        <v>—</v>
      </c>
      <c r="T27" s="36" t="n">
        <v>14</v>
      </c>
      <c r="U27" s="31"/>
      <c r="V27" s="40" t="str">
        <f aca="false">IF(U27="","",U27-T27)</f>
        <v/>
      </c>
      <c r="W27" s="41" t="str">
        <f aca="false">IF(OR(U27="",T27=0),"—",IF(U27/T27&gt;=0.9,"✅ ON TRACK",IF(U27/T27&gt;=0.7,"⚠️ WATCH","🚨 ALERT")))</f>
        <v>—</v>
      </c>
      <c r="X27" s="42" t="n">
        <f aca="false">IFERROR(AVERAGE(IF(E27&lt;&gt;"",E27/D27),IF(I27&lt;&gt;"",I27/H27),IF(M27&lt;&gt;"",M27/L27),IF(Q27&lt;&gt;"",Q27/P27),IF(U27&lt;&gt;"",U27/T27)),"")</f>
        <v>0</v>
      </c>
      <c r="Y27" s="13" t="str">
        <f aca="false">IFERROR(IF(AND(E27&lt;&gt;"",I27&lt;&gt;"",E27/D27&gt;0.9,I27/H27&lt;0.7),"⚠️ Volume w/o BTS | ","")&amp;IF(AND(M27&lt;&gt;"",M27=0),"🚨 ZERO HSI | ","")&amp;IF(AND(I27&lt;&gt;"",I27=0),"🚨 ZERO BTS | ","")&amp;IF(AND(E27&lt;&gt;"",U27&lt;&gt;"",E27/D27&gt;0.8,U27/T27&lt;0.6),"⚠️ Weak MIMS | ","")&amp;IF(AND(E27&lt;&gt;"",M27&lt;&gt;"",E27/D27&gt;0.85,M27/L27&lt;0.65),"⚠️ No Full Solution | ",""),"—")</f>
        <v/>
      </c>
      <c r="Z27" s="43" t="s">
        <v>85</v>
      </c>
    </row>
    <row r="28" customFormat="false" ht="19.5" hidden="false" customHeight="true" outlineLevel="0" collapsed="false">
      <c r="A28" s="29" t="n">
        <v>25</v>
      </c>
      <c r="B28" s="10" t="s">
        <v>86</v>
      </c>
      <c r="C28" s="9" t="s">
        <v>37</v>
      </c>
      <c r="D28" s="30" t="n">
        <v>94</v>
      </c>
      <c r="E28" s="31"/>
      <c r="F28" s="32" t="str">
        <f aca="false">IF(E28="","",E28-D28)</f>
        <v/>
      </c>
      <c r="G28" s="9" t="str">
        <f aca="false">IF(OR(E28="",D28=0),"—",IF(E28/D28&gt;=0.9,"✅ ON TRACK",IF(E28/D28&gt;=0.7,"⚠️ WATCH","🚨 ALERT")))</f>
        <v>—</v>
      </c>
      <c r="H28" s="33" t="n">
        <v>20</v>
      </c>
      <c r="I28" s="31"/>
      <c r="J28" s="32" t="str">
        <f aca="false">IF(I28="","",I28-H28)</f>
        <v/>
      </c>
      <c r="K28" s="9" t="str">
        <f aca="false">IF(OR(I28="",H28=0),"—",IF(I28/H28&gt;=0.9,"✅ ON TRACK",IF(I28/H28&gt;=0.7,"⚠️ WATCH","🚨 ALERT")))</f>
        <v>—</v>
      </c>
      <c r="L28" s="34" t="n">
        <v>9</v>
      </c>
      <c r="M28" s="31"/>
      <c r="N28" s="32" t="str">
        <f aca="false">IF(M28="","",M28-L28)</f>
        <v/>
      </c>
      <c r="O28" s="9" t="str">
        <f aca="false">IF(OR(M28="",L28=0),"—",IF(M28/L28&gt;=0.9,"✅ ON TRACK",IF(M28/L28&gt;=0.7,"⚠️ WATCH","🚨 ALERT")))</f>
        <v>—</v>
      </c>
      <c r="P28" s="35" t="n">
        <v>53</v>
      </c>
      <c r="Q28" s="31"/>
      <c r="R28" s="32" t="str">
        <f aca="false">IF(Q28="","",Q28-P28)</f>
        <v/>
      </c>
      <c r="S28" s="9" t="str">
        <f aca="false">IF(OR(Q28="",P28=0),"—",IF(Q28/P28&gt;=0.9,"✅ ON TRACK",IF(Q28/P28&gt;=0.7,"⚠️ WATCH","🚨 ALERT")))</f>
        <v>—</v>
      </c>
      <c r="T28" s="36" t="n">
        <v>15</v>
      </c>
      <c r="U28" s="31"/>
      <c r="V28" s="32" t="str">
        <f aca="false">IF(U28="","",U28-T28)</f>
        <v/>
      </c>
      <c r="W28" s="9" t="str">
        <f aca="false">IF(OR(U28="",T28=0),"—",IF(U28/T28&gt;=0.9,"✅ ON TRACK",IF(U28/T28&gt;=0.7,"⚠️ WATCH","🚨 ALERT")))</f>
        <v>—</v>
      </c>
      <c r="X28" s="37" t="n">
        <f aca="false">IFERROR(AVERAGE(IF(E28&lt;&gt;"",E28/D28),IF(I28&lt;&gt;"",I28/H28),IF(M28&lt;&gt;"",M28/L28),IF(Q28&lt;&gt;"",Q28/P28),IF(U28&lt;&gt;"",U28/T28)),"")</f>
        <v>0</v>
      </c>
      <c r="Y28" s="10" t="str">
        <f aca="false">IFERROR(IF(AND(E28&lt;&gt;"",I28&lt;&gt;"",E28/D28&gt;0.9,I28/H28&lt;0.7),"⚠️ Volume w/o BTS | ","")&amp;IF(AND(M28&lt;&gt;"",M28=0),"🚨 ZERO HSI | ","")&amp;IF(AND(I28&lt;&gt;"",I28=0),"🚨 ZERO BTS | ","")&amp;IF(AND(E28&lt;&gt;"",U28&lt;&gt;"",E28/D28&gt;0.8,U28/T28&lt;0.6),"⚠️ Weak MIMS | ","")&amp;IF(AND(E28&lt;&gt;"",M28&lt;&gt;"",E28/D28&gt;0.85,M28/L28&lt;0.65),"⚠️ No Full Solution | ",""),"—")</f>
        <v/>
      </c>
      <c r="Z28" s="38" t="s">
        <v>87</v>
      </c>
    </row>
    <row r="29" customFormat="false" ht="19.5" hidden="false" customHeight="true" outlineLevel="0" collapsed="false">
      <c r="A29" s="39" t="n">
        <v>26</v>
      </c>
      <c r="B29" s="13" t="s">
        <v>88</v>
      </c>
      <c r="C29" s="12" t="s">
        <v>50</v>
      </c>
      <c r="D29" s="30" t="n">
        <v>94</v>
      </c>
      <c r="E29" s="31"/>
      <c r="F29" s="40" t="str">
        <f aca="false">IF(E29="","",E29-D29)</f>
        <v/>
      </c>
      <c r="G29" s="41" t="str">
        <f aca="false">IF(OR(E29="",D29=0),"—",IF(E29/D29&gt;=0.9,"✅ ON TRACK",IF(E29/D29&gt;=0.7,"⚠️ WATCH","🚨 ALERT")))</f>
        <v>—</v>
      </c>
      <c r="H29" s="33" t="n">
        <v>22</v>
      </c>
      <c r="I29" s="31"/>
      <c r="J29" s="40" t="str">
        <f aca="false">IF(I29="","",I29-H29)</f>
        <v/>
      </c>
      <c r="K29" s="41" t="str">
        <f aca="false">IF(OR(I29="",H29=0),"—",IF(I29/H29&gt;=0.9,"✅ ON TRACK",IF(I29/H29&gt;=0.7,"⚠️ WATCH","🚨 ALERT")))</f>
        <v>—</v>
      </c>
      <c r="L29" s="34" t="n">
        <v>4</v>
      </c>
      <c r="M29" s="31"/>
      <c r="N29" s="40" t="str">
        <f aca="false">IF(M29="","",M29-L29)</f>
        <v/>
      </c>
      <c r="O29" s="41" t="str">
        <f aca="false">IF(OR(M29="",L29=0),"—",IF(M29/L29&gt;=0.9,"✅ ON TRACK",IF(M29/L29&gt;=0.7,"⚠️ WATCH","🚨 ALERT")))</f>
        <v>—</v>
      </c>
      <c r="P29" s="35" t="n">
        <v>53</v>
      </c>
      <c r="Q29" s="31"/>
      <c r="R29" s="40" t="str">
        <f aca="false">IF(Q29="","",Q29-P29)</f>
        <v/>
      </c>
      <c r="S29" s="41" t="str">
        <f aca="false">IF(OR(Q29="",P29=0),"—",IF(Q29/P29&gt;=0.9,"✅ ON TRACK",IF(Q29/P29&gt;=0.7,"⚠️ WATCH","🚨 ALERT")))</f>
        <v>—</v>
      </c>
      <c r="T29" s="36" t="n">
        <v>15</v>
      </c>
      <c r="U29" s="31"/>
      <c r="V29" s="40" t="str">
        <f aca="false">IF(U29="","",U29-T29)</f>
        <v/>
      </c>
      <c r="W29" s="41" t="str">
        <f aca="false">IF(OR(U29="",T29=0),"—",IF(U29/T29&gt;=0.9,"✅ ON TRACK",IF(U29/T29&gt;=0.7,"⚠️ WATCH","🚨 ALERT")))</f>
        <v>—</v>
      </c>
      <c r="X29" s="42" t="n">
        <f aca="false">IFERROR(AVERAGE(IF(E29&lt;&gt;"",E29/D29),IF(I29&lt;&gt;"",I29/H29),IF(M29&lt;&gt;"",M29/L29),IF(Q29&lt;&gt;"",Q29/P29),IF(U29&lt;&gt;"",U29/T29)),"")</f>
        <v>0</v>
      </c>
      <c r="Y29" s="13" t="str">
        <f aca="false">IFERROR(IF(AND(E29&lt;&gt;"",I29&lt;&gt;"",E29/D29&gt;0.9,I29/H29&lt;0.7),"⚠️ Volume w/o BTS | ","")&amp;IF(AND(M29&lt;&gt;"",M29=0),"🚨 ZERO HSI | ","")&amp;IF(AND(I29&lt;&gt;"",I29=0),"🚨 ZERO BTS | ","")&amp;IF(AND(E29&lt;&gt;"",U29&lt;&gt;"",E29/D29&gt;0.8,U29/T29&lt;0.6),"⚠️ Weak MIMS | ","")&amp;IF(AND(E29&lt;&gt;"",M29&lt;&gt;"",E29/D29&gt;0.85,M29/L29&lt;0.65),"⚠️ No Full Solution | ",""),"—")</f>
        <v/>
      </c>
      <c r="Z29" s="43" t="s">
        <v>89</v>
      </c>
    </row>
    <row r="30" customFormat="false" ht="19.5" hidden="false" customHeight="true" outlineLevel="0" collapsed="false">
      <c r="A30" s="29" t="n">
        <v>27</v>
      </c>
      <c r="B30" s="10" t="s">
        <v>90</v>
      </c>
      <c r="C30" s="9" t="s">
        <v>63</v>
      </c>
      <c r="D30" s="30" t="n">
        <v>92</v>
      </c>
      <c r="E30" s="31"/>
      <c r="F30" s="32" t="str">
        <f aca="false">IF(E30="","",E30-D30)</f>
        <v/>
      </c>
      <c r="G30" s="9" t="str">
        <f aca="false">IF(OR(E30="",D30=0),"—",IF(E30/D30&gt;=0.9,"✅ ON TRACK",IF(E30/D30&gt;=0.7,"⚠️ WATCH","🚨 ALERT")))</f>
        <v>—</v>
      </c>
      <c r="H30" s="33" t="n">
        <v>20</v>
      </c>
      <c r="I30" s="31"/>
      <c r="J30" s="32" t="str">
        <f aca="false">IF(I30="","",I30-H30)</f>
        <v/>
      </c>
      <c r="K30" s="9" t="str">
        <f aca="false">IF(OR(I30="",H30=0),"—",IF(I30/H30&gt;=0.9,"✅ ON TRACK",IF(I30/H30&gt;=0.7,"⚠️ WATCH","🚨 ALERT")))</f>
        <v>—</v>
      </c>
      <c r="L30" s="34" t="n">
        <v>9</v>
      </c>
      <c r="M30" s="31"/>
      <c r="N30" s="32" t="str">
        <f aca="false">IF(M30="","",M30-L30)</f>
        <v/>
      </c>
      <c r="O30" s="9" t="str">
        <f aca="false">IF(OR(M30="",L30=0),"—",IF(M30/L30&gt;=0.9,"✅ ON TRACK",IF(M30/L30&gt;=0.7,"⚠️ WATCH","🚨 ALERT")))</f>
        <v>—</v>
      </c>
      <c r="P30" s="35" t="n">
        <v>54</v>
      </c>
      <c r="Q30" s="31"/>
      <c r="R30" s="32" t="str">
        <f aca="false">IF(Q30="","",Q30-P30)</f>
        <v/>
      </c>
      <c r="S30" s="9" t="str">
        <f aca="false">IF(OR(Q30="",P30=0),"—",IF(Q30/P30&gt;=0.9,"✅ ON TRACK",IF(Q30/P30&gt;=0.7,"⚠️ WATCH","🚨 ALERT")))</f>
        <v>—</v>
      </c>
      <c r="T30" s="36" t="n">
        <v>11</v>
      </c>
      <c r="U30" s="31"/>
      <c r="V30" s="32" t="str">
        <f aca="false">IF(U30="","",U30-T30)</f>
        <v/>
      </c>
      <c r="W30" s="9" t="str">
        <f aca="false">IF(OR(U30="",T30=0),"—",IF(U30/T30&gt;=0.9,"✅ ON TRACK",IF(U30/T30&gt;=0.7,"⚠️ WATCH","🚨 ALERT")))</f>
        <v>—</v>
      </c>
      <c r="X30" s="37" t="n">
        <f aca="false">IFERROR(AVERAGE(IF(E30&lt;&gt;"",E30/D30),IF(I30&lt;&gt;"",I30/H30),IF(M30&lt;&gt;"",M30/L30),IF(Q30&lt;&gt;"",Q30/P30),IF(U30&lt;&gt;"",U30/T30)),"")</f>
        <v>0</v>
      </c>
      <c r="Y30" s="10" t="str">
        <f aca="false">IFERROR(IF(AND(E30&lt;&gt;"",I30&lt;&gt;"",E30/D30&gt;0.9,I30/H30&lt;0.7),"⚠️ Volume w/o BTS | ","")&amp;IF(AND(M30&lt;&gt;"",M30=0),"🚨 ZERO HSI | ","")&amp;IF(AND(I30&lt;&gt;"",I30=0),"🚨 ZERO BTS | ","")&amp;IF(AND(E30&lt;&gt;"",U30&lt;&gt;"",E30/D30&gt;0.8,U30/T30&lt;0.6),"⚠️ Weak MIMS | ","")&amp;IF(AND(E30&lt;&gt;"",M30&lt;&gt;"",E30/D30&gt;0.85,M30/L30&lt;0.65),"⚠️ No Full Solution | ",""),"—")</f>
        <v/>
      </c>
      <c r="Z30" s="38" t="s">
        <v>91</v>
      </c>
    </row>
    <row r="31" customFormat="false" ht="19.5" hidden="false" customHeight="true" outlineLevel="0" collapsed="false">
      <c r="A31" s="39" t="n">
        <v>28</v>
      </c>
      <c r="B31" s="13" t="s">
        <v>92</v>
      </c>
      <c r="C31" s="12" t="s">
        <v>37</v>
      </c>
      <c r="D31" s="30" t="n">
        <v>88</v>
      </c>
      <c r="E31" s="31"/>
      <c r="F31" s="40" t="str">
        <f aca="false">IF(E31="","",E31-D31)</f>
        <v/>
      </c>
      <c r="G31" s="41" t="str">
        <f aca="false">IF(OR(E31="",D31=0),"—",IF(E31/D31&gt;=0.9,"✅ ON TRACK",IF(E31/D31&gt;=0.7,"⚠️ WATCH","🚨 ALERT")))</f>
        <v>—</v>
      </c>
      <c r="H31" s="33" t="n">
        <v>21</v>
      </c>
      <c r="I31" s="31"/>
      <c r="J31" s="40" t="str">
        <f aca="false">IF(I31="","",I31-H31)</f>
        <v/>
      </c>
      <c r="K31" s="41" t="str">
        <f aca="false">IF(OR(I31="",H31=0),"—",IF(I31/H31&gt;=0.9,"✅ ON TRACK",IF(I31/H31&gt;=0.7,"⚠️ WATCH","🚨 ALERT")))</f>
        <v>—</v>
      </c>
      <c r="L31" s="34" t="n">
        <v>5</v>
      </c>
      <c r="M31" s="31"/>
      <c r="N31" s="40" t="str">
        <f aca="false">IF(M31="","",M31-L31)</f>
        <v/>
      </c>
      <c r="O31" s="41" t="str">
        <f aca="false">IF(OR(M31="",L31=0),"—",IF(M31/L31&gt;=0.9,"✅ ON TRACK",IF(M31/L31&gt;=0.7,"⚠️ WATCH","🚨 ALERT")))</f>
        <v>—</v>
      </c>
      <c r="P31" s="35" t="n">
        <v>49</v>
      </c>
      <c r="Q31" s="31"/>
      <c r="R31" s="40" t="str">
        <f aca="false">IF(Q31="","",Q31-P31)</f>
        <v/>
      </c>
      <c r="S31" s="41" t="str">
        <f aca="false">IF(OR(Q31="",P31=0),"—",IF(Q31/P31&gt;=0.9,"✅ ON TRACK",IF(Q31/P31&gt;=0.7,"⚠️ WATCH","🚨 ALERT")))</f>
        <v>—</v>
      </c>
      <c r="T31" s="36" t="n">
        <v>13</v>
      </c>
      <c r="U31" s="31"/>
      <c r="V31" s="40" t="str">
        <f aca="false">IF(U31="","",U31-T31)</f>
        <v/>
      </c>
      <c r="W31" s="41" t="str">
        <f aca="false">IF(OR(U31="",T31=0),"—",IF(U31/T31&gt;=0.9,"✅ ON TRACK",IF(U31/T31&gt;=0.7,"⚠️ WATCH","🚨 ALERT")))</f>
        <v>—</v>
      </c>
      <c r="X31" s="42" t="n">
        <f aca="false">IFERROR(AVERAGE(IF(E31&lt;&gt;"",E31/D31),IF(I31&lt;&gt;"",I31/H31),IF(M31&lt;&gt;"",M31/L31),IF(Q31&lt;&gt;"",Q31/P31),IF(U31&lt;&gt;"",U31/T31)),"")</f>
        <v>0</v>
      </c>
      <c r="Y31" s="13" t="str">
        <f aca="false">IFERROR(IF(AND(E31&lt;&gt;"",I31&lt;&gt;"",E31/D31&gt;0.9,I31/H31&lt;0.7),"⚠️ Volume w/o BTS | ","")&amp;IF(AND(M31&lt;&gt;"",M31=0),"🚨 ZERO HSI | ","")&amp;IF(AND(I31&lt;&gt;"",I31=0),"🚨 ZERO BTS | ","")&amp;IF(AND(E31&lt;&gt;"",U31&lt;&gt;"",E31/D31&gt;0.8,U31/T31&lt;0.6),"⚠️ Weak MIMS | ","")&amp;IF(AND(E31&lt;&gt;"",M31&lt;&gt;"",E31/D31&gt;0.85,M31/L31&lt;0.65),"⚠️ No Full Solution | ",""),"—")</f>
        <v/>
      </c>
      <c r="Z31" s="43" t="s">
        <v>93</v>
      </c>
    </row>
    <row r="32" customFormat="false" ht="19.5" hidden="false" customHeight="true" outlineLevel="0" collapsed="false">
      <c r="A32" s="29" t="n">
        <v>29</v>
      </c>
      <c r="B32" s="10" t="s">
        <v>94</v>
      </c>
      <c r="C32" s="9" t="s">
        <v>50</v>
      </c>
      <c r="D32" s="30" t="n">
        <v>85</v>
      </c>
      <c r="E32" s="31"/>
      <c r="F32" s="32" t="str">
        <f aca="false">IF(E32="","",E32-D32)</f>
        <v/>
      </c>
      <c r="G32" s="9" t="str">
        <f aca="false">IF(OR(E32="",D32=0),"—",IF(E32/D32&gt;=0.9,"✅ ON TRACK",IF(E32/D32&gt;=0.7,"⚠️ WATCH","🚨 ALERT")))</f>
        <v>—</v>
      </c>
      <c r="H32" s="33" t="n">
        <v>18</v>
      </c>
      <c r="I32" s="31"/>
      <c r="J32" s="32" t="str">
        <f aca="false">IF(I32="","",I32-H32)</f>
        <v/>
      </c>
      <c r="K32" s="9" t="str">
        <f aca="false">IF(OR(I32="",H32=0),"—",IF(I32/H32&gt;=0.9,"✅ ON TRACK",IF(I32/H32&gt;=0.7,"⚠️ WATCH","🚨 ALERT")))</f>
        <v>—</v>
      </c>
      <c r="L32" s="34" t="n">
        <v>8</v>
      </c>
      <c r="M32" s="31"/>
      <c r="N32" s="32" t="str">
        <f aca="false">IF(M32="","",M32-L32)</f>
        <v/>
      </c>
      <c r="O32" s="9" t="str">
        <f aca="false">IF(OR(M32="",L32=0),"—",IF(M32/L32&gt;=0.9,"✅ ON TRACK",IF(M32/L32&gt;=0.7,"⚠️ WATCH","🚨 ALERT")))</f>
        <v>—</v>
      </c>
      <c r="P32" s="35" t="n">
        <v>52</v>
      </c>
      <c r="Q32" s="31"/>
      <c r="R32" s="32" t="str">
        <f aca="false">IF(Q32="","",Q32-P32)</f>
        <v/>
      </c>
      <c r="S32" s="9" t="str">
        <f aca="false">IF(OR(Q32="",P32=0),"—",IF(Q32/P32&gt;=0.9,"✅ ON TRACK",IF(Q32/P32&gt;=0.7,"⚠️ WATCH","🚨 ALERT")))</f>
        <v>—</v>
      </c>
      <c r="T32" s="36" t="n">
        <v>9</v>
      </c>
      <c r="U32" s="31"/>
      <c r="V32" s="32" t="str">
        <f aca="false">IF(U32="","",U32-T32)</f>
        <v/>
      </c>
      <c r="W32" s="9" t="str">
        <f aca="false">IF(OR(U32="",T32=0),"—",IF(U32/T32&gt;=0.9,"✅ ON TRACK",IF(U32/T32&gt;=0.7,"⚠️ WATCH","🚨 ALERT")))</f>
        <v>—</v>
      </c>
      <c r="X32" s="37" t="n">
        <f aca="false">IFERROR(AVERAGE(IF(E32&lt;&gt;"",E32/D32),IF(I32&lt;&gt;"",I32/H32),IF(M32&lt;&gt;"",M32/L32),IF(Q32&lt;&gt;"",Q32/P32),IF(U32&lt;&gt;"",U32/T32)),"")</f>
        <v>0</v>
      </c>
      <c r="Y32" s="10" t="str">
        <f aca="false">IFERROR(IF(AND(E32&lt;&gt;"",I32&lt;&gt;"",E32/D32&gt;0.9,I32/H32&lt;0.7),"⚠️ Volume w/o BTS | ","")&amp;IF(AND(M32&lt;&gt;"",M32=0),"🚨 ZERO HSI | ","")&amp;IF(AND(I32&lt;&gt;"",I32=0),"🚨 ZERO BTS | ","")&amp;IF(AND(E32&lt;&gt;"",U32&lt;&gt;"",E32/D32&gt;0.8,U32/T32&lt;0.6),"⚠️ Weak MIMS | ","")&amp;IF(AND(E32&lt;&gt;"",M32&lt;&gt;"",E32/D32&gt;0.85,M32/L32&lt;0.65),"⚠️ No Full Solution | ",""),"—")</f>
        <v/>
      </c>
      <c r="Z32" s="38" t="s">
        <v>95</v>
      </c>
    </row>
    <row r="33" customFormat="false" ht="19.5" hidden="false" customHeight="true" outlineLevel="0" collapsed="false">
      <c r="A33" s="39" t="n">
        <v>30</v>
      </c>
      <c r="B33" s="13" t="s">
        <v>96</v>
      </c>
      <c r="C33" s="12" t="s">
        <v>37</v>
      </c>
      <c r="D33" s="30" t="n">
        <v>83</v>
      </c>
      <c r="E33" s="31"/>
      <c r="F33" s="40" t="str">
        <f aca="false">IF(E33="","",E33-D33)</f>
        <v/>
      </c>
      <c r="G33" s="41" t="str">
        <f aca="false">IF(OR(E33="",D33=0),"—",IF(E33/D33&gt;=0.9,"✅ ON TRACK",IF(E33/D33&gt;=0.7,"⚠️ WATCH","🚨 ALERT")))</f>
        <v>—</v>
      </c>
      <c r="H33" s="33" t="n">
        <v>18</v>
      </c>
      <c r="I33" s="31"/>
      <c r="J33" s="40" t="str">
        <f aca="false">IF(I33="","",I33-H33)</f>
        <v/>
      </c>
      <c r="K33" s="41" t="str">
        <f aca="false">IF(OR(I33="",H33=0),"—",IF(I33/H33&gt;=0.9,"✅ ON TRACK",IF(I33/H33&gt;=0.7,"⚠️ WATCH","🚨 ALERT")))</f>
        <v>—</v>
      </c>
      <c r="L33" s="34" t="n">
        <v>5</v>
      </c>
      <c r="M33" s="31"/>
      <c r="N33" s="40" t="str">
        <f aca="false">IF(M33="","",M33-L33)</f>
        <v/>
      </c>
      <c r="O33" s="41" t="str">
        <f aca="false">IF(OR(M33="",L33=0),"—",IF(M33/L33&gt;=0.9,"✅ ON TRACK",IF(M33/L33&gt;=0.7,"⚠️ WATCH","🚨 ALERT")))</f>
        <v>—</v>
      </c>
      <c r="P33" s="35" t="n">
        <v>46</v>
      </c>
      <c r="Q33" s="31"/>
      <c r="R33" s="40" t="str">
        <f aca="false">IF(Q33="","",Q33-P33)</f>
        <v/>
      </c>
      <c r="S33" s="41" t="str">
        <f aca="false">IF(OR(Q33="",P33=0),"—",IF(Q33/P33&gt;=0.9,"✅ ON TRACK",IF(Q33/P33&gt;=0.7,"⚠️ WATCH","🚨 ALERT")))</f>
        <v>—</v>
      </c>
      <c r="T33" s="36" t="n">
        <v>10</v>
      </c>
      <c r="U33" s="31"/>
      <c r="V33" s="40" t="str">
        <f aca="false">IF(U33="","",U33-T33)</f>
        <v/>
      </c>
      <c r="W33" s="41" t="str">
        <f aca="false">IF(OR(U33="",T33=0),"—",IF(U33/T33&gt;=0.9,"✅ ON TRACK",IF(U33/T33&gt;=0.7,"⚠️ WATCH","🚨 ALERT")))</f>
        <v>—</v>
      </c>
      <c r="X33" s="42" t="n">
        <f aca="false">IFERROR(AVERAGE(IF(E33&lt;&gt;"",E33/D33),IF(I33&lt;&gt;"",I33/H33),IF(M33&lt;&gt;"",M33/L33),IF(Q33&lt;&gt;"",Q33/P33),IF(U33&lt;&gt;"",U33/T33)),"")</f>
        <v>0</v>
      </c>
      <c r="Y33" s="13" t="str">
        <f aca="false">IFERROR(IF(AND(E33&lt;&gt;"",I33&lt;&gt;"",E33/D33&gt;0.9,I33/H33&lt;0.7),"⚠️ Volume w/o BTS | ","")&amp;IF(AND(M33&lt;&gt;"",M33=0),"🚨 ZERO HSI | ","")&amp;IF(AND(I33&lt;&gt;"",I33=0),"🚨 ZERO BTS | ","")&amp;IF(AND(E33&lt;&gt;"",U33&lt;&gt;"",E33/D33&gt;0.8,U33/T33&lt;0.6),"⚠️ Weak MIMS | ","")&amp;IF(AND(E33&lt;&gt;"",M33&lt;&gt;"",E33/D33&gt;0.85,M33/L33&lt;0.65),"⚠️ No Full Solution | ",""),"—")</f>
        <v/>
      </c>
      <c r="Z33" s="43" t="s">
        <v>97</v>
      </c>
    </row>
    <row r="34" customFormat="false" ht="19.5" hidden="false" customHeight="true" outlineLevel="0" collapsed="false">
      <c r="A34" s="29" t="n">
        <v>31</v>
      </c>
      <c r="B34" s="10" t="s">
        <v>98</v>
      </c>
      <c r="C34" s="9" t="s">
        <v>50</v>
      </c>
      <c r="D34" s="30" t="n">
        <v>77</v>
      </c>
      <c r="E34" s="31"/>
      <c r="F34" s="32" t="str">
        <f aca="false">IF(E34="","",E34-D34)</f>
        <v/>
      </c>
      <c r="G34" s="9" t="str">
        <f aca="false">IF(OR(E34="",D34=0),"—",IF(E34/D34&gt;=0.9,"✅ ON TRACK",IF(E34/D34&gt;=0.7,"⚠️ WATCH","🚨 ALERT")))</f>
        <v>—</v>
      </c>
      <c r="H34" s="33" t="n">
        <v>18</v>
      </c>
      <c r="I34" s="31"/>
      <c r="J34" s="32" t="str">
        <f aca="false">IF(I34="","",I34-H34)</f>
        <v/>
      </c>
      <c r="K34" s="9" t="str">
        <f aca="false">IF(OR(I34="",H34=0),"—",IF(I34/H34&gt;=0.9,"✅ ON TRACK",IF(I34/H34&gt;=0.7,"⚠️ WATCH","🚨 ALERT")))</f>
        <v>—</v>
      </c>
      <c r="L34" s="34" t="n">
        <v>6</v>
      </c>
      <c r="M34" s="31"/>
      <c r="N34" s="32" t="str">
        <f aca="false">IF(M34="","",M34-L34)</f>
        <v/>
      </c>
      <c r="O34" s="9" t="str">
        <f aca="false">IF(OR(M34="",L34=0),"—",IF(M34/L34&gt;=0.9,"✅ ON TRACK",IF(M34/L34&gt;=0.7,"⚠️ WATCH","🚨 ALERT")))</f>
        <v>—</v>
      </c>
      <c r="P34" s="35" t="n">
        <v>40</v>
      </c>
      <c r="Q34" s="31"/>
      <c r="R34" s="32" t="str">
        <f aca="false">IF(Q34="","",Q34-P34)</f>
        <v/>
      </c>
      <c r="S34" s="9" t="str">
        <f aca="false">IF(OR(Q34="",P34=0),"—",IF(Q34/P34&gt;=0.9,"✅ ON TRACK",IF(Q34/P34&gt;=0.7,"⚠️ WATCH","🚨 ALERT")))</f>
        <v>—</v>
      </c>
      <c r="T34" s="36" t="n">
        <v>16</v>
      </c>
      <c r="U34" s="31"/>
      <c r="V34" s="32" t="str">
        <f aca="false">IF(U34="","",U34-T34)</f>
        <v/>
      </c>
      <c r="W34" s="9" t="str">
        <f aca="false">IF(OR(U34="",T34=0),"—",IF(U34/T34&gt;=0.9,"✅ ON TRACK",IF(U34/T34&gt;=0.7,"⚠️ WATCH","🚨 ALERT")))</f>
        <v>—</v>
      </c>
      <c r="X34" s="37" t="n">
        <f aca="false">IFERROR(AVERAGE(IF(E34&lt;&gt;"",E34/D34),IF(I34&lt;&gt;"",I34/H34),IF(M34&lt;&gt;"",M34/L34),IF(Q34&lt;&gt;"",Q34/P34),IF(U34&lt;&gt;"",U34/T34)),"")</f>
        <v>0</v>
      </c>
      <c r="Y34" s="10" t="str">
        <f aca="false">IFERROR(IF(AND(E34&lt;&gt;"",I34&lt;&gt;"",E34/D34&gt;0.9,I34/H34&lt;0.7),"⚠️ Volume w/o BTS | ","")&amp;IF(AND(M34&lt;&gt;"",M34=0),"🚨 ZERO HSI | ","")&amp;IF(AND(I34&lt;&gt;"",I34=0),"🚨 ZERO BTS | ","")&amp;IF(AND(E34&lt;&gt;"",U34&lt;&gt;"",E34/D34&gt;0.8,U34/T34&lt;0.6),"⚠️ Weak MIMS | ","")&amp;IF(AND(E34&lt;&gt;"",M34&lt;&gt;"",E34/D34&gt;0.85,M34/L34&lt;0.65),"⚠️ No Full Solution | ",""),"—")</f>
        <v/>
      </c>
      <c r="Z34" s="38" t="s">
        <v>99</v>
      </c>
    </row>
    <row r="35" customFormat="false" ht="19.5" hidden="false" customHeight="true" outlineLevel="0" collapsed="false">
      <c r="A35" s="39" t="n">
        <v>32</v>
      </c>
      <c r="B35" s="13" t="s">
        <v>100</v>
      </c>
      <c r="C35" s="12" t="s">
        <v>37</v>
      </c>
      <c r="D35" s="30" t="n">
        <v>74</v>
      </c>
      <c r="E35" s="31"/>
      <c r="F35" s="40" t="str">
        <f aca="false">IF(E35="","",E35-D35)</f>
        <v/>
      </c>
      <c r="G35" s="41" t="str">
        <f aca="false">IF(OR(E35="",D35=0),"—",IF(E35/D35&gt;=0.9,"✅ ON TRACK",IF(E35/D35&gt;=0.7,"⚠️ WATCH","🚨 ALERT")))</f>
        <v>—</v>
      </c>
      <c r="H35" s="33" t="n">
        <v>20</v>
      </c>
      <c r="I35" s="31"/>
      <c r="J35" s="40" t="str">
        <f aca="false">IF(I35="","",I35-H35)</f>
        <v/>
      </c>
      <c r="K35" s="41" t="str">
        <f aca="false">IF(OR(I35="",H35=0),"—",IF(I35/H35&gt;=0.9,"✅ ON TRACK",IF(I35/H35&gt;=0.7,"⚠️ WATCH","🚨 ALERT")))</f>
        <v>—</v>
      </c>
      <c r="L35" s="34" t="n">
        <v>5</v>
      </c>
      <c r="M35" s="31"/>
      <c r="N35" s="40" t="str">
        <f aca="false">IF(M35="","",M35-L35)</f>
        <v/>
      </c>
      <c r="O35" s="41" t="str">
        <f aca="false">IF(OR(M35="",L35=0),"—",IF(M35/L35&gt;=0.9,"✅ ON TRACK",IF(M35/L35&gt;=0.7,"⚠️ WATCH","🚨 ALERT")))</f>
        <v>—</v>
      </c>
      <c r="P35" s="35" t="n">
        <v>39</v>
      </c>
      <c r="Q35" s="31"/>
      <c r="R35" s="40" t="str">
        <f aca="false">IF(Q35="","",Q35-P35)</f>
        <v/>
      </c>
      <c r="S35" s="41" t="str">
        <f aca="false">IF(OR(Q35="",P35=0),"—",IF(Q35/P35&gt;=0.9,"✅ ON TRACK",IF(Q35/P35&gt;=0.7,"⚠️ WATCH","🚨 ALERT")))</f>
        <v>—</v>
      </c>
      <c r="T35" s="36" t="n">
        <v>10</v>
      </c>
      <c r="U35" s="31"/>
      <c r="V35" s="40" t="str">
        <f aca="false">IF(U35="","",U35-T35)</f>
        <v/>
      </c>
      <c r="W35" s="41" t="str">
        <f aca="false">IF(OR(U35="",T35=0),"—",IF(U35/T35&gt;=0.9,"✅ ON TRACK",IF(U35/T35&gt;=0.7,"⚠️ WATCH","🚨 ALERT")))</f>
        <v>—</v>
      </c>
      <c r="X35" s="42" t="n">
        <f aca="false">IFERROR(AVERAGE(IF(E35&lt;&gt;"",E35/D35),IF(I35&lt;&gt;"",I35/H35),IF(M35&lt;&gt;"",M35/L35),IF(Q35&lt;&gt;"",Q35/P35),IF(U35&lt;&gt;"",U35/T35)),"")</f>
        <v>0</v>
      </c>
      <c r="Y35" s="13" t="str">
        <f aca="false">IFERROR(IF(AND(E35&lt;&gt;"",I35&lt;&gt;"",E35/D35&gt;0.9,I35/H35&lt;0.7),"⚠️ Volume w/o BTS | ","")&amp;IF(AND(M35&lt;&gt;"",M35=0),"🚨 ZERO HSI | ","")&amp;IF(AND(I35&lt;&gt;"",I35=0),"🚨 ZERO BTS | ","")&amp;IF(AND(E35&lt;&gt;"",U35&lt;&gt;"",E35/D35&gt;0.8,U35/T35&lt;0.6),"⚠️ Weak MIMS | ","")&amp;IF(AND(E35&lt;&gt;"",M35&lt;&gt;"",E35/D35&gt;0.85,M35/L35&lt;0.65),"⚠️ No Full Solution | ",""),"—")</f>
        <v/>
      </c>
      <c r="Z35" s="43" t="s">
        <v>101</v>
      </c>
    </row>
    <row r="36" customFormat="false" ht="19.5" hidden="false" customHeight="true" outlineLevel="0" collapsed="false">
      <c r="A36" s="29" t="n">
        <v>33</v>
      </c>
      <c r="B36" s="10" t="s">
        <v>102</v>
      </c>
      <c r="C36" s="9" t="s">
        <v>50</v>
      </c>
      <c r="D36" s="30" t="n">
        <v>69</v>
      </c>
      <c r="E36" s="31"/>
      <c r="F36" s="32" t="str">
        <f aca="false">IF(E36="","",E36-D36)</f>
        <v/>
      </c>
      <c r="G36" s="9" t="str">
        <f aca="false">IF(OR(E36="",D36=0),"—",IF(E36/D36&gt;=0.9,"✅ ON TRACK",IF(E36/D36&gt;=0.7,"⚠️ WATCH","🚨 ALERT")))</f>
        <v>—</v>
      </c>
      <c r="H36" s="33" t="n">
        <v>16</v>
      </c>
      <c r="I36" s="31"/>
      <c r="J36" s="32" t="str">
        <f aca="false">IF(I36="","",I36-H36)</f>
        <v/>
      </c>
      <c r="K36" s="9" t="str">
        <f aca="false">IF(OR(I36="",H36=0),"—",IF(I36/H36&gt;=0.9,"✅ ON TRACK",IF(I36/H36&gt;=0.7,"⚠️ WATCH","🚨 ALERT")))</f>
        <v>—</v>
      </c>
      <c r="L36" s="34" t="n">
        <v>6</v>
      </c>
      <c r="M36" s="31"/>
      <c r="N36" s="32" t="str">
        <f aca="false">IF(M36="","",M36-L36)</f>
        <v/>
      </c>
      <c r="O36" s="9" t="str">
        <f aca="false">IF(OR(M36="",L36=0),"—",IF(M36/L36&gt;=0.9,"✅ ON TRACK",IF(M36/L36&gt;=0.7,"⚠️ WATCH","🚨 ALERT")))</f>
        <v>—</v>
      </c>
      <c r="P36" s="35" t="n">
        <v>43</v>
      </c>
      <c r="Q36" s="31"/>
      <c r="R36" s="32" t="str">
        <f aca="false">IF(Q36="","",Q36-P36)</f>
        <v/>
      </c>
      <c r="S36" s="9" t="str">
        <f aca="false">IF(OR(Q36="",P36=0),"—",IF(Q36/P36&gt;=0.9,"✅ ON TRACK",IF(Q36/P36&gt;=0.7,"⚠️ WATCH","🚨 ALERT")))</f>
        <v>—</v>
      </c>
      <c r="T36" s="36" t="n">
        <v>8</v>
      </c>
      <c r="U36" s="31"/>
      <c r="V36" s="32" t="str">
        <f aca="false">IF(U36="","",U36-T36)</f>
        <v/>
      </c>
      <c r="W36" s="9" t="str">
        <f aca="false">IF(OR(U36="",T36=0),"—",IF(U36/T36&gt;=0.9,"✅ ON TRACK",IF(U36/T36&gt;=0.7,"⚠️ WATCH","🚨 ALERT")))</f>
        <v>—</v>
      </c>
      <c r="X36" s="37" t="n">
        <f aca="false">IFERROR(AVERAGE(IF(E36&lt;&gt;"",E36/D36),IF(I36&lt;&gt;"",I36/H36),IF(M36&lt;&gt;"",M36/L36),IF(Q36&lt;&gt;"",Q36/P36),IF(U36&lt;&gt;"",U36/T36)),"")</f>
        <v>0</v>
      </c>
      <c r="Y36" s="10" t="str">
        <f aca="false">IFERROR(IF(AND(E36&lt;&gt;"",I36&lt;&gt;"",E36/D36&gt;0.9,I36/H36&lt;0.7),"⚠️ Volume w/o BTS | ","")&amp;IF(AND(M36&lt;&gt;"",M36=0),"🚨 ZERO HSI | ","")&amp;IF(AND(I36&lt;&gt;"",I36=0),"🚨 ZERO BTS | ","")&amp;IF(AND(E36&lt;&gt;"",U36&lt;&gt;"",E36/D36&gt;0.8,U36/T36&lt;0.6),"⚠️ Weak MIMS | ","")&amp;IF(AND(E36&lt;&gt;"",M36&lt;&gt;"",E36/D36&gt;0.85,M36/L36&lt;0.65),"⚠️ No Full Solution | ",""),"—")</f>
        <v/>
      </c>
      <c r="Z36" s="38" t="s">
        <v>103</v>
      </c>
    </row>
    <row r="37" customFormat="false" ht="19.5" hidden="false" customHeight="true" outlineLevel="0" collapsed="false">
      <c r="A37" s="39" t="n">
        <v>34</v>
      </c>
      <c r="B37" s="13" t="s">
        <v>104</v>
      </c>
      <c r="C37" s="12" t="s">
        <v>37</v>
      </c>
      <c r="D37" s="30" t="n">
        <v>59</v>
      </c>
      <c r="E37" s="31"/>
      <c r="F37" s="40" t="str">
        <f aca="false">IF(E37="","",E37-D37)</f>
        <v/>
      </c>
      <c r="G37" s="41" t="str">
        <f aca="false">IF(OR(E37="",D37=0),"—",IF(E37/D37&gt;=0.9,"✅ ON TRACK",IF(E37/D37&gt;=0.7,"⚠️ WATCH","🚨 ALERT")))</f>
        <v>—</v>
      </c>
      <c r="H37" s="33" t="n">
        <v>14</v>
      </c>
      <c r="I37" s="31"/>
      <c r="J37" s="40" t="str">
        <f aca="false">IF(I37="","",I37-H37)</f>
        <v/>
      </c>
      <c r="K37" s="41" t="str">
        <f aca="false">IF(OR(I37="",H37=0),"—",IF(I37/H37&gt;=0.9,"✅ ON TRACK",IF(I37/H37&gt;=0.7,"⚠️ WATCH","🚨 ALERT")))</f>
        <v>—</v>
      </c>
      <c r="L37" s="34" t="n">
        <v>4</v>
      </c>
      <c r="M37" s="31"/>
      <c r="N37" s="40" t="str">
        <f aca="false">IF(M37="","",M37-L37)</f>
        <v/>
      </c>
      <c r="O37" s="41" t="str">
        <f aca="false">IF(OR(M37="",L37=0),"—",IF(M37/L37&gt;=0.9,"✅ ON TRACK",IF(M37/L37&gt;=0.7,"⚠️ WATCH","🚨 ALERT")))</f>
        <v>—</v>
      </c>
      <c r="P37" s="35" t="n">
        <v>35</v>
      </c>
      <c r="Q37" s="31"/>
      <c r="R37" s="40" t="str">
        <f aca="false">IF(Q37="","",Q37-P37)</f>
        <v/>
      </c>
      <c r="S37" s="41" t="str">
        <f aca="false">IF(OR(Q37="",P37=0),"—",IF(Q37/P37&gt;=0.9,"✅ ON TRACK",IF(Q37/P37&gt;=0.7,"⚠️ WATCH","🚨 ALERT")))</f>
        <v>—</v>
      </c>
      <c r="T37" s="36" t="n">
        <v>13</v>
      </c>
      <c r="U37" s="31"/>
      <c r="V37" s="40" t="str">
        <f aca="false">IF(U37="","",U37-T37)</f>
        <v/>
      </c>
      <c r="W37" s="41" t="str">
        <f aca="false">IF(OR(U37="",T37=0),"—",IF(U37/T37&gt;=0.9,"✅ ON TRACK",IF(U37/T37&gt;=0.7,"⚠️ WATCH","🚨 ALERT")))</f>
        <v>—</v>
      </c>
      <c r="X37" s="42" t="n">
        <f aca="false">IFERROR(AVERAGE(IF(E37&lt;&gt;"",E37/D37),IF(I37&lt;&gt;"",I37/H37),IF(M37&lt;&gt;"",M37/L37),IF(Q37&lt;&gt;"",Q37/P37),IF(U37&lt;&gt;"",U37/T37)),"")</f>
        <v>0</v>
      </c>
      <c r="Y37" s="13" t="str">
        <f aca="false">IFERROR(IF(AND(E37&lt;&gt;"",I37&lt;&gt;"",E37/D37&gt;0.9,I37/H37&lt;0.7),"⚠️ Volume w/o BTS | ","")&amp;IF(AND(M37&lt;&gt;"",M37=0),"🚨 ZERO HSI | ","")&amp;IF(AND(I37&lt;&gt;"",I37=0),"🚨 ZERO BTS | ","")&amp;IF(AND(E37&lt;&gt;"",U37&lt;&gt;"",E37/D37&gt;0.8,U37/T37&lt;0.6),"⚠️ Weak MIMS | ","")&amp;IF(AND(E37&lt;&gt;"",M37&lt;&gt;"",E37/D37&gt;0.85,M37/L37&lt;0.65),"⚠️ No Full Solution | ",""),"—")</f>
        <v/>
      </c>
      <c r="Z37" s="43" t="s">
        <v>76</v>
      </c>
    </row>
    <row r="38" customFormat="false" ht="24" hidden="false" customHeight="true" outlineLevel="0" collapsed="false">
      <c r="A38" s="44" t="s">
        <v>105</v>
      </c>
      <c r="B38" s="44"/>
      <c r="C38" s="44"/>
      <c r="D38" s="45" t="n">
        <f aca="false">SUM(D4:D37)</f>
        <v>4490</v>
      </c>
      <c r="E38" s="45" t="n">
        <f aca="false">SUM(E4:E37)</f>
        <v>0</v>
      </c>
      <c r="H38" s="45" t="n">
        <f aca="false">SUM(H4:H37)</f>
        <v>1128</v>
      </c>
      <c r="I38" s="45" t="n">
        <f aca="false">SUM(I4:I37)</f>
        <v>0</v>
      </c>
      <c r="L38" s="45" t="n">
        <f aca="false">SUM(L4:L37)</f>
        <v>307</v>
      </c>
      <c r="M38" s="45" t="n">
        <f aca="false">SUM(M4:M37)</f>
        <v>0</v>
      </c>
      <c r="P38" s="45" t="n">
        <f aca="false">SUM(P4:P37)</f>
        <v>2410</v>
      </c>
      <c r="Q38" s="45" t="n">
        <f aca="false">SUM(Q4:Q37)</f>
        <v>0</v>
      </c>
      <c r="T38" s="45" t="n">
        <f aca="false">SUM(T4:T37)</f>
        <v>670</v>
      </c>
      <c r="U38" s="45" t="n">
        <f aca="false">SUM(U4:U37)</f>
        <v>0</v>
      </c>
    </row>
  </sheetData>
  <mergeCells count="7">
    <mergeCell ref="A1:Y1"/>
    <mergeCell ref="D2:G2"/>
    <mergeCell ref="H2:K2"/>
    <mergeCell ref="L2:O2"/>
    <mergeCell ref="P2:S2"/>
    <mergeCell ref="T2:W2"/>
    <mergeCell ref="A38:C38"/>
  </mergeCells>
  <conditionalFormatting sqref="G4:G37">
    <cfRule type="expression" priority="2" aboveAverage="0" equalAverage="0" bottom="0" percent="0" rank="0" text="" dxfId="0">
      <formula>$G4="✅ ON TRACK"</formula>
    </cfRule>
    <cfRule type="expression" priority="3" aboveAverage="0" equalAverage="0" bottom="0" percent="0" rank="0" text="" dxfId="1">
      <formula>$G4="⚠️ WATCH"</formula>
    </cfRule>
    <cfRule type="expression" priority="4" aboveAverage="0" equalAverage="0" bottom="0" percent="0" rank="0" text="" dxfId="2">
      <formula>$G4="🚨 ALERT"</formula>
    </cfRule>
  </conditionalFormatting>
  <conditionalFormatting sqref="K4:K37">
    <cfRule type="expression" priority="5" aboveAverage="0" equalAverage="0" bottom="0" percent="0" rank="0" text="" dxfId="0">
      <formula>$K4="✅ ON TRACK"</formula>
    </cfRule>
    <cfRule type="expression" priority="6" aboveAverage="0" equalAverage="0" bottom="0" percent="0" rank="0" text="" dxfId="1">
      <formula>$K4="⚠️ WATCH"</formula>
    </cfRule>
    <cfRule type="expression" priority="7" aboveAverage="0" equalAverage="0" bottom="0" percent="0" rank="0" text="" dxfId="2">
      <formula>$K4="🚨 ALERT"</formula>
    </cfRule>
  </conditionalFormatting>
  <conditionalFormatting sqref="O4:O37">
    <cfRule type="expression" priority="8" aboveAverage="0" equalAverage="0" bottom="0" percent="0" rank="0" text="" dxfId="0">
      <formula>$O4="✅ ON TRACK"</formula>
    </cfRule>
    <cfRule type="expression" priority="9" aboveAverage="0" equalAverage="0" bottom="0" percent="0" rank="0" text="" dxfId="1">
      <formula>$O4="⚠️ WATCH"</formula>
    </cfRule>
    <cfRule type="expression" priority="10" aboveAverage="0" equalAverage="0" bottom="0" percent="0" rank="0" text="" dxfId="2">
      <formula>$O4="🚨 ALERT"</formula>
    </cfRule>
  </conditionalFormatting>
  <conditionalFormatting sqref="S4:S37">
    <cfRule type="expression" priority="11" aboveAverage="0" equalAverage="0" bottom="0" percent="0" rank="0" text="" dxfId="0">
      <formula>$S4="✅ ON TRACK"</formula>
    </cfRule>
    <cfRule type="expression" priority="12" aboveAverage="0" equalAverage="0" bottom="0" percent="0" rank="0" text="" dxfId="1">
      <formula>$S4="⚠️ WATCH"</formula>
    </cfRule>
    <cfRule type="expression" priority="13" aboveAverage="0" equalAverage="0" bottom="0" percent="0" rank="0" text="" dxfId="2">
      <formula>$S4="🚨 ALERT"</formula>
    </cfRule>
  </conditionalFormatting>
  <conditionalFormatting sqref="W4:W37">
    <cfRule type="expression" priority="14" aboveAverage="0" equalAverage="0" bottom="0" percent="0" rank="0" text="" dxfId="0">
      <formula>$W4="✅ ON TRACK"</formula>
    </cfRule>
    <cfRule type="expression" priority="15" aboveAverage="0" equalAverage="0" bottom="0" percent="0" rank="0" text="" dxfId="1">
      <formula>$W4="⚠️ WATCH"</formula>
    </cfRule>
    <cfRule type="expression" priority="16" aboveAverage="0" equalAverage="0" bottom="0" percent="0" rank="0" text="" dxfId="2">
      <formula>$W4="🚨 ALERT"</formula>
    </cfRule>
  </conditionalFormatting>
  <conditionalFormatting sqref="X4:X37">
    <cfRule type="colorScale" priority="17">
      <colorScale>
        <cfvo type="num" val="0"/>
        <cfvo type="num" val="0.75"/>
        <cfvo type="num" val="1"/>
        <color rgb="FFFF4444"/>
        <color rgb="FFFFD700"/>
        <color rgb="FF44CC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5" min="3" style="1" width="12"/>
    <col collapsed="false" customWidth="true" hidden="false" outlineLevel="0" max="6" min="6" style="1" width="10"/>
    <col collapsed="false" customWidth="true" hidden="false" outlineLevel="0" max="7" min="7" style="1" width="4"/>
    <col collapsed="false" customWidth="true" hidden="false" outlineLevel="0" max="8" min="8" style="1" width="5"/>
    <col collapsed="false" customWidth="true" hidden="false" outlineLevel="0" max="9" min="9" style="1" width="28"/>
    <col collapsed="false" customWidth="true" hidden="false" outlineLevel="0" max="13" min="10" style="1" width="10"/>
  </cols>
  <sheetData>
    <row r="1" customFormat="false" ht="36" hidden="false" customHeight="true" outlineLevel="0" collapsed="false">
      <c r="A1" s="46" t="s">
        <v>106</v>
      </c>
      <c r="B1" s="46"/>
      <c r="C1" s="46"/>
      <c r="D1" s="46"/>
      <c r="E1" s="46"/>
      <c r="F1" s="46"/>
      <c r="G1" s="46"/>
      <c r="H1" s="46"/>
      <c r="I1" s="46"/>
      <c r="J1" s="46"/>
    </row>
    <row r="2" customFormat="false" ht="27.75" hidden="false" customHeight="true" outlineLevel="0" collapsed="false">
      <c r="A2" s="4" t="s">
        <v>107</v>
      </c>
      <c r="B2" s="4"/>
      <c r="C2" s="4"/>
      <c r="D2" s="4"/>
      <c r="E2" s="4"/>
      <c r="F2" s="4"/>
      <c r="H2" s="7" t="s">
        <v>108</v>
      </c>
      <c r="I2" s="7"/>
      <c r="J2" s="7"/>
      <c r="K2" s="7"/>
      <c r="L2" s="7"/>
      <c r="M2" s="7"/>
    </row>
    <row r="3" customFormat="false" ht="27.75" hidden="false" customHeight="true" outlineLevel="0" collapsed="false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18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18</v>
      </c>
    </row>
    <row r="4" customFormat="false" ht="19.5" hidden="false" customHeight="true" outlineLevel="0" collapsed="false">
      <c r="A4" s="12" t="n">
        <v>1</v>
      </c>
      <c r="B4" s="13" t="str">
        <f aca="false">'📋 SCORECARD'!B4</f>
        <v>Kelley Sq – Kelley Sq Worcester, MA</v>
      </c>
      <c r="C4" s="12" t="str">
        <f aca="false">'📋 SCORECARD'!C4</f>
        <v>NE</v>
      </c>
      <c r="D4" s="14" t="n">
        <f aca="false">'📋 SCORECARD'!D4</f>
        <v>262</v>
      </c>
      <c r="E4" s="14" t="n">
        <f aca="false">'📋 SCORECARD'!E4</f>
        <v>0</v>
      </c>
      <c r="F4" s="47" t="n">
        <f aca="false">IFERROR('📋 SCORECARD'!E4/'📋 SCORECARD'!D4,"")</f>
        <v>0</v>
      </c>
      <c r="H4" s="12" t="n">
        <v>1</v>
      </c>
      <c r="I4" s="13" t="str">
        <f aca="false">'📋 SCORECARD'!B37</f>
        <v>Tiogue Ave – Coventry, RI</v>
      </c>
      <c r="J4" s="12" t="str">
        <f aca="false">'📋 SCORECARD'!C37</f>
        <v>NE</v>
      </c>
      <c r="K4" s="14" t="n">
        <f aca="false">'📋 SCORECARD'!D37</f>
        <v>59</v>
      </c>
      <c r="L4" s="14" t="n">
        <f aca="false">'📋 SCORECARD'!E37</f>
        <v>0</v>
      </c>
      <c r="M4" s="47" t="n">
        <f aca="false">IFERROR('📋 SCORECARD'!E37/'📋 SCORECARD'!D37,"")</f>
        <v>0</v>
      </c>
    </row>
    <row r="5" customFormat="false" ht="19.5" hidden="false" customHeight="true" outlineLevel="0" collapsed="false">
      <c r="A5" s="9" t="n">
        <v>2</v>
      </c>
      <c r="B5" s="10" t="str">
        <f aca="false">'📋 SCORECARD'!B5</f>
        <v>Providence Pl – Providence, RI</v>
      </c>
      <c r="C5" s="9" t="str">
        <f aca="false">'📋 SCORECARD'!C5</f>
        <v>NE</v>
      </c>
      <c r="D5" s="11" t="n">
        <f aca="false">'📋 SCORECARD'!D5</f>
        <v>226</v>
      </c>
      <c r="E5" s="11" t="n">
        <f aca="false">'📋 SCORECARD'!E5</f>
        <v>0</v>
      </c>
      <c r="F5" s="48" t="n">
        <f aca="false">IFERROR('📋 SCORECARD'!E5/'📋 SCORECARD'!D5,"")</f>
        <v>0</v>
      </c>
      <c r="H5" s="9" t="n">
        <v>2</v>
      </c>
      <c r="I5" s="10" t="str">
        <f aca="false">'📋 SCORECARD'!B36</f>
        <v>W Andrew – Morristown, TN</v>
      </c>
      <c r="J5" s="9" t="str">
        <f aca="false">'📋 SCORECARD'!C36</f>
        <v>CENTRAL</v>
      </c>
      <c r="K5" s="11" t="n">
        <f aca="false">'📋 SCORECARD'!D36</f>
        <v>69</v>
      </c>
      <c r="L5" s="11" t="n">
        <f aca="false">'📋 SCORECARD'!E36</f>
        <v>0</v>
      </c>
      <c r="M5" s="48" t="n">
        <f aca="false">IFERROR('📋 SCORECARD'!E36/'📋 SCORECARD'!D36,"")</f>
        <v>0</v>
      </c>
    </row>
    <row r="6" customFormat="false" ht="19.5" hidden="false" customHeight="true" outlineLevel="0" collapsed="false">
      <c r="A6" s="12" t="n">
        <v>3</v>
      </c>
      <c r="B6" s="13" t="str">
        <f aca="false">'📋 SCORECARD'!B6</f>
        <v>Hartford Ave – Providence, RI</v>
      </c>
      <c r="C6" s="12" t="str">
        <f aca="false">'📋 SCORECARD'!C6</f>
        <v>NE</v>
      </c>
      <c r="D6" s="14" t="n">
        <f aca="false">'📋 SCORECARD'!D6</f>
        <v>201</v>
      </c>
      <c r="E6" s="14" t="n">
        <f aca="false">'📋 SCORECARD'!E6</f>
        <v>0</v>
      </c>
      <c r="F6" s="47" t="n">
        <f aca="false">IFERROR('📋 SCORECARD'!E6/'📋 SCORECARD'!D6,"")</f>
        <v>0</v>
      </c>
      <c r="H6" s="12" t="n">
        <v>3</v>
      </c>
      <c r="I6" s="13" t="str">
        <f aca="false">'📋 SCORECARD'!B35</f>
        <v>Newport Ave – Rumford, RI</v>
      </c>
      <c r="J6" s="12" t="str">
        <f aca="false">'📋 SCORECARD'!C35</f>
        <v>NE</v>
      </c>
      <c r="K6" s="14" t="n">
        <f aca="false">'📋 SCORECARD'!D35</f>
        <v>74</v>
      </c>
      <c r="L6" s="14" t="n">
        <f aca="false">'📋 SCORECARD'!E35</f>
        <v>0</v>
      </c>
      <c r="M6" s="47" t="n">
        <f aca="false">IFERROR('📋 SCORECARD'!E35/'📋 SCORECARD'!D35,"")</f>
        <v>0</v>
      </c>
    </row>
    <row r="7" customFormat="false" ht="19.5" hidden="false" customHeight="true" outlineLevel="0" collapsed="false">
      <c r="A7" s="9" t="n">
        <v>4</v>
      </c>
      <c r="B7" s="10" t="str">
        <f aca="false">'📋 SCORECARD'!B7</f>
        <v>Holyoke Street – Holyoke Street Holyoke, MA</v>
      </c>
      <c r="C7" s="9" t="str">
        <f aca="false">'📋 SCORECARD'!C7</f>
        <v>NE</v>
      </c>
      <c r="D7" s="11" t="n">
        <f aca="false">'📋 SCORECARD'!D7</f>
        <v>191</v>
      </c>
      <c r="E7" s="11" t="n">
        <f aca="false">'📋 SCORECARD'!E7</f>
        <v>0</v>
      </c>
      <c r="F7" s="48" t="n">
        <f aca="false">IFERROR('📋 SCORECARD'!E7/'📋 SCORECARD'!D7,"")</f>
        <v>0</v>
      </c>
      <c r="H7" s="9" t="n">
        <v>4</v>
      </c>
      <c r="I7" s="10" t="str">
        <f aca="false">'📋 SCORECARD'!B34</f>
        <v>W Market – Johnson City, TN</v>
      </c>
      <c r="J7" s="9" t="str">
        <f aca="false">'📋 SCORECARD'!C34</f>
        <v>CENTRAL</v>
      </c>
      <c r="K7" s="11" t="n">
        <f aca="false">'📋 SCORECARD'!D34</f>
        <v>77</v>
      </c>
      <c r="L7" s="11" t="n">
        <f aca="false">'📋 SCORECARD'!E34</f>
        <v>0</v>
      </c>
      <c r="M7" s="48" t="n">
        <f aca="false">IFERROR('📋 SCORECARD'!E34/'📋 SCORECARD'!D34,"")</f>
        <v>0</v>
      </c>
    </row>
    <row r="8" customFormat="false" ht="19.5" hidden="false" customHeight="true" outlineLevel="0" collapsed="false">
      <c r="A8" s="12" t="n">
        <v>5</v>
      </c>
      <c r="B8" s="13" t="str">
        <f aca="false">'📋 SCORECARD'!B8</f>
        <v>Granite St – Braintree, MA</v>
      </c>
      <c r="C8" s="12" t="str">
        <f aca="false">'📋 SCORECARD'!C8</f>
        <v>NE</v>
      </c>
      <c r="D8" s="14" t="n">
        <f aca="false">'📋 SCORECARD'!D8</f>
        <v>190</v>
      </c>
      <c r="E8" s="14" t="n">
        <f aca="false">'📋 SCORECARD'!E8</f>
        <v>0</v>
      </c>
      <c r="F8" s="47" t="n">
        <f aca="false">IFERROR('📋 SCORECARD'!E8/'📋 SCORECARD'!D8,"")</f>
        <v>0</v>
      </c>
      <c r="H8" s="12" t="n">
        <v>5</v>
      </c>
      <c r="I8" s="13" t="str">
        <f aca="false">'📋 SCORECARD'!B33</f>
        <v>Douglas Ave – Providence, RI</v>
      </c>
      <c r="J8" s="12" t="str">
        <f aca="false">'📋 SCORECARD'!C33</f>
        <v>NE</v>
      </c>
      <c r="K8" s="14" t="n">
        <f aca="false">'📋 SCORECARD'!D33</f>
        <v>83</v>
      </c>
      <c r="L8" s="14" t="n">
        <f aca="false">'📋 SCORECARD'!E33</f>
        <v>0</v>
      </c>
      <c r="M8" s="47" t="n">
        <f aca="false">IFERROR('📋 SCORECARD'!E33/'📋 SCORECARD'!D33,"")</f>
        <v>0</v>
      </c>
    </row>
    <row r="9" customFormat="false" ht="19.5" hidden="false" customHeight="true" outlineLevel="0" collapsed="false">
      <c r="A9" s="9" t="n">
        <v>6</v>
      </c>
      <c r="B9" s="10" t="str">
        <f aca="false">'📋 SCORECARD'!B9</f>
        <v>S Frontage – New London, CT</v>
      </c>
      <c r="C9" s="9" t="str">
        <f aca="false">'📋 SCORECARD'!C9</f>
        <v>NE</v>
      </c>
      <c r="D9" s="11" t="n">
        <f aca="false">'📋 SCORECARD'!D9</f>
        <v>186</v>
      </c>
      <c r="E9" s="11" t="n">
        <f aca="false">'📋 SCORECARD'!E9</f>
        <v>0</v>
      </c>
      <c r="F9" s="48" t="n">
        <f aca="false">IFERROR('📋 SCORECARD'!E9/'📋 SCORECARD'!D9,"")</f>
        <v>0</v>
      </c>
      <c r="H9" s="9" t="n">
        <v>6</v>
      </c>
      <c r="I9" s="10" t="str">
        <f aca="false">'📋 SCORECARD'!B32</f>
        <v>Colonel Glenn – Little Rock, AR</v>
      </c>
      <c r="J9" s="9" t="str">
        <f aca="false">'📋 SCORECARD'!C32</f>
        <v>CENTRAL</v>
      </c>
      <c r="K9" s="11" t="n">
        <f aca="false">'📋 SCORECARD'!D32</f>
        <v>85</v>
      </c>
      <c r="L9" s="11" t="n">
        <f aca="false">'📋 SCORECARD'!E32</f>
        <v>0</v>
      </c>
      <c r="M9" s="48" t="n">
        <f aca="false">IFERROR('📋 SCORECARD'!E32/'📋 SCORECARD'!D32,"")</f>
        <v>0</v>
      </c>
    </row>
    <row r="10" customFormat="false" ht="19.5" hidden="false" customHeight="true" outlineLevel="0" collapsed="false">
      <c r="A10" s="12" t="n">
        <v>7</v>
      </c>
      <c r="B10" s="13" t="str">
        <f aca="false">'📋 SCORECARD'!B10</f>
        <v>Geyer Springs – Little Rock, AR</v>
      </c>
      <c r="C10" s="12" t="str">
        <f aca="false">'📋 SCORECARD'!C10</f>
        <v>CENTRAL</v>
      </c>
      <c r="D10" s="14" t="n">
        <f aca="false">'📋 SCORECARD'!D10</f>
        <v>182</v>
      </c>
      <c r="E10" s="14" t="n">
        <f aca="false">'📋 SCORECARD'!E10</f>
        <v>0</v>
      </c>
      <c r="F10" s="47" t="n">
        <f aca="false">IFERROR('📋 SCORECARD'!E10/'📋 SCORECARD'!D10,"")</f>
        <v>0</v>
      </c>
      <c r="H10" s="12" t="n">
        <v>7</v>
      </c>
      <c r="I10" s="13" t="str">
        <f aca="false">'📋 SCORECARD'!B31</f>
        <v>Broad St – Providence, RI</v>
      </c>
      <c r="J10" s="12" t="str">
        <f aca="false">'📋 SCORECARD'!C31</f>
        <v>NE</v>
      </c>
      <c r="K10" s="14" t="n">
        <f aca="false">'📋 SCORECARD'!D31</f>
        <v>88</v>
      </c>
      <c r="L10" s="14" t="n">
        <f aca="false">'📋 SCORECARD'!E31</f>
        <v>0</v>
      </c>
      <c r="M10" s="47" t="n">
        <f aca="false">IFERROR('📋 SCORECARD'!E31/'📋 SCORECARD'!D31,"")</f>
        <v>0</v>
      </c>
    </row>
    <row r="11" customFormat="false" ht="19.5" hidden="false" customHeight="true" outlineLevel="0" collapsed="false">
      <c r="A11" s="9" t="n">
        <v>8</v>
      </c>
      <c r="B11" s="10" t="str">
        <f aca="false">'📋 SCORECARD'!B11</f>
        <v>E Magnolia – Knoxville, TN</v>
      </c>
      <c r="C11" s="9" t="str">
        <f aca="false">'📋 SCORECARD'!C11</f>
        <v>CENTRAL</v>
      </c>
      <c r="D11" s="11" t="n">
        <f aca="false">'📋 SCORECARD'!D11</f>
        <v>182</v>
      </c>
      <c r="E11" s="11" t="n">
        <f aca="false">'📋 SCORECARD'!E11</f>
        <v>0</v>
      </c>
      <c r="F11" s="48" t="n">
        <f aca="false">IFERROR('📋 SCORECARD'!E11/'📋 SCORECARD'!D11,"")</f>
        <v>0</v>
      </c>
      <c r="H11" s="9" t="n">
        <v>8</v>
      </c>
      <c r="I11" s="10" t="str">
        <f aca="false">'📋 SCORECARD'!B30</f>
        <v>Keith St – Cleveland, TN</v>
      </c>
      <c r="J11" s="9" t="str">
        <f aca="false">'📋 SCORECARD'!C30</f>
        <v>SE</v>
      </c>
      <c r="K11" s="11" t="n">
        <f aca="false">'📋 SCORECARD'!D30</f>
        <v>92</v>
      </c>
      <c r="L11" s="11" t="n">
        <f aca="false">'📋 SCORECARD'!E30</f>
        <v>0</v>
      </c>
      <c r="M11" s="48" t="n">
        <f aca="false">IFERROR('📋 SCORECARD'!E30/'📋 SCORECARD'!D30,"")</f>
        <v>0</v>
      </c>
    </row>
    <row r="12" customFormat="false" ht="19.5" hidden="false" customHeight="true" outlineLevel="0" collapsed="false">
      <c r="A12" s="12" t="n">
        <v>9</v>
      </c>
      <c r="B12" s="13" t="str">
        <f aca="false">'📋 SCORECARD'!B12</f>
        <v>N Broadway – Knoxville, TN</v>
      </c>
      <c r="C12" s="12" t="str">
        <f aca="false">'📋 SCORECARD'!C12</f>
        <v>CENTRAL</v>
      </c>
      <c r="D12" s="14" t="n">
        <f aca="false">'📋 SCORECARD'!D12</f>
        <v>169</v>
      </c>
      <c r="E12" s="14" t="n">
        <f aca="false">'📋 SCORECARD'!E12</f>
        <v>0</v>
      </c>
      <c r="F12" s="47" t="n">
        <f aca="false">IFERROR('📋 SCORECARD'!E12/'📋 SCORECARD'!D12,"")</f>
        <v>0</v>
      </c>
      <c r="H12" s="12" t="n">
        <v>9</v>
      </c>
      <c r="I12" s="13" t="str">
        <f aca="false">'📋 SCORECARD'!B29</f>
        <v>Western Ave – Knoxville, TN</v>
      </c>
      <c r="J12" s="12" t="str">
        <f aca="false">'📋 SCORECARD'!C29</f>
        <v>CENTRAL</v>
      </c>
      <c r="K12" s="14" t="n">
        <f aca="false">'📋 SCORECARD'!D29</f>
        <v>94</v>
      </c>
      <c r="L12" s="14" t="n">
        <f aca="false">'📋 SCORECARD'!E29</f>
        <v>0</v>
      </c>
      <c r="M12" s="47" t="n">
        <f aca="false">IFERROR('📋 SCORECARD'!E29/'📋 SCORECARD'!D29,"")</f>
        <v>0</v>
      </c>
    </row>
    <row r="13" customFormat="false" ht="19.5" hidden="false" customHeight="true" outlineLevel="0" collapsed="false">
      <c r="A13" s="9" t="n">
        <v>10</v>
      </c>
      <c r="B13" s="10" t="str">
        <f aca="false">'📋 SCORECARD'!B13</f>
        <v>Iyannough Rd., – Hyannis, MA</v>
      </c>
      <c r="C13" s="9" t="str">
        <f aca="false">'📋 SCORECARD'!C13</f>
        <v>NE</v>
      </c>
      <c r="D13" s="11" t="n">
        <f aca="false">'📋 SCORECARD'!D13</f>
        <v>161</v>
      </c>
      <c r="E13" s="11" t="n">
        <f aca="false">'📋 SCORECARD'!E13</f>
        <v>0</v>
      </c>
      <c r="F13" s="48" t="n">
        <f aca="false">IFERROR('📋 SCORECARD'!E13/'📋 SCORECARD'!D13,"")</f>
        <v>0</v>
      </c>
      <c r="H13" s="9" t="n">
        <v>10</v>
      </c>
      <c r="I13" s="10" t="str">
        <f aca="false">'📋 SCORECARD'!B28</f>
        <v>Locust St – Springfield, MA</v>
      </c>
      <c r="J13" s="9" t="str">
        <f aca="false">'📋 SCORECARD'!C28</f>
        <v>NE</v>
      </c>
      <c r="K13" s="11" t="n">
        <f aca="false">'📋 SCORECARD'!D28</f>
        <v>94</v>
      </c>
      <c r="L13" s="11" t="n">
        <f aca="false">'📋 SCORECARD'!E28</f>
        <v>0</v>
      </c>
      <c r="M13" s="48" t="n">
        <f aca="false">IFERROR('📋 SCORECARD'!E28/'📋 SCORECARD'!D28,"")</f>
        <v>0</v>
      </c>
    </row>
    <row r="16" customFormat="false" ht="27.75" hidden="false" customHeight="true" outlineLevel="0" collapsed="false">
      <c r="A16" s="49" t="s">
        <v>109</v>
      </c>
      <c r="B16" s="49"/>
      <c r="C16" s="49"/>
      <c r="D16" s="49"/>
      <c r="E16" s="49"/>
      <c r="F16" s="49"/>
      <c r="H16" s="50" t="s">
        <v>110</v>
      </c>
      <c r="I16" s="50"/>
      <c r="J16" s="50"/>
      <c r="K16" s="50"/>
      <c r="L16" s="50"/>
      <c r="M16" s="50"/>
    </row>
    <row r="17" customFormat="false" ht="23.25" hidden="false" customHeight="true" outlineLevel="0" collapsed="false">
      <c r="A17" s="17" t="s">
        <v>12</v>
      </c>
      <c r="B17" s="17" t="s">
        <v>13</v>
      </c>
      <c r="C17" s="17" t="s">
        <v>14</v>
      </c>
      <c r="D17" s="17" t="s">
        <v>19</v>
      </c>
      <c r="E17" s="17" t="s">
        <v>20</v>
      </c>
      <c r="F17" s="17" t="s">
        <v>18</v>
      </c>
      <c r="H17" s="18" t="s">
        <v>12</v>
      </c>
      <c r="I17" s="18" t="s">
        <v>13</v>
      </c>
      <c r="J17" s="18" t="s">
        <v>14</v>
      </c>
      <c r="K17" s="18" t="s">
        <v>111</v>
      </c>
      <c r="L17" s="18" t="s">
        <v>112</v>
      </c>
      <c r="M17" s="18" t="s">
        <v>18</v>
      </c>
    </row>
    <row r="18" customFormat="false" ht="19.5" hidden="false" customHeight="true" outlineLevel="0" collapsed="false">
      <c r="A18" s="12" t="n">
        <v>1</v>
      </c>
      <c r="B18" s="13" t="str">
        <f aca="false">'📋 SCORECARD'!B4</f>
        <v>Kelley Sq – Kelley Sq Worcester, MA</v>
      </c>
      <c r="C18" s="12" t="str">
        <f aca="false">'📋 SCORECARD'!C4</f>
        <v>NE</v>
      </c>
      <c r="D18" s="14" t="n">
        <f aca="false">'📋 SCORECARD'!H4</f>
        <v>81</v>
      </c>
      <c r="E18" s="14" t="n">
        <f aca="false">'📋 SCORECARD'!I4</f>
        <v>0</v>
      </c>
      <c r="F18" s="47" t="n">
        <f aca="false">IFERROR('📋 SCORECARD'!I4/'📋 SCORECARD'!H4,"")</f>
        <v>0</v>
      </c>
      <c r="H18" s="12" t="n">
        <v>1</v>
      </c>
      <c r="I18" s="13" t="str">
        <f aca="false">'📋 SCORECARD'!B4</f>
        <v>Kelley Sq – Kelley Sq Worcester, MA</v>
      </c>
      <c r="J18" s="12" t="str">
        <f aca="false">'📋 SCORECARD'!C4</f>
        <v>NE</v>
      </c>
      <c r="K18" s="14" t="n">
        <f aca="false">'📋 SCORECARD'!L4</f>
        <v>16</v>
      </c>
      <c r="L18" s="14" t="n">
        <f aca="false">'📋 SCORECARD'!M4</f>
        <v>0</v>
      </c>
      <c r="M18" s="47" t="n">
        <f aca="false">IFERROR('📋 SCORECARD'!M4/'📋 SCORECARD'!L4,"")</f>
        <v>0</v>
      </c>
    </row>
    <row r="19" customFormat="false" ht="19.5" hidden="false" customHeight="true" outlineLevel="0" collapsed="false">
      <c r="A19" s="9" t="n">
        <v>2</v>
      </c>
      <c r="B19" s="10" t="str">
        <f aca="false">'📋 SCORECARD'!B5</f>
        <v>Providence Pl – Providence, RI</v>
      </c>
      <c r="C19" s="9" t="str">
        <f aca="false">'📋 SCORECARD'!C5</f>
        <v>NE</v>
      </c>
      <c r="D19" s="11" t="n">
        <f aca="false">'📋 SCORECARD'!H5</f>
        <v>54</v>
      </c>
      <c r="E19" s="11" t="n">
        <f aca="false">'📋 SCORECARD'!I5</f>
        <v>0</v>
      </c>
      <c r="F19" s="48" t="n">
        <f aca="false">IFERROR('📋 SCORECARD'!I5/'📋 SCORECARD'!H5,"")</f>
        <v>0</v>
      </c>
      <c r="H19" s="9" t="n">
        <v>2</v>
      </c>
      <c r="I19" s="10" t="str">
        <f aca="false">'📋 SCORECARD'!B5</f>
        <v>Providence Pl – Providence, RI</v>
      </c>
      <c r="J19" s="9" t="str">
        <f aca="false">'📋 SCORECARD'!C5</f>
        <v>NE</v>
      </c>
      <c r="K19" s="11" t="n">
        <f aca="false">'📋 SCORECARD'!L5</f>
        <v>17</v>
      </c>
      <c r="L19" s="11" t="n">
        <f aca="false">'📋 SCORECARD'!M5</f>
        <v>0</v>
      </c>
      <c r="M19" s="48" t="n">
        <f aca="false">IFERROR('📋 SCORECARD'!M5/'📋 SCORECARD'!L5,"")</f>
        <v>0</v>
      </c>
    </row>
    <row r="20" customFormat="false" ht="19.5" hidden="false" customHeight="true" outlineLevel="0" collapsed="false">
      <c r="A20" s="12" t="n">
        <v>3</v>
      </c>
      <c r="B20" s="13" t="str">
        <f aca="false">'📋 SCORECARD'!B6</f>
        <v>Hartford Ave – Providence, RI</v>
      </c>
      <c r="C20" s="12" t="str">
        <f aca="false">'📋 SCORECARD'!C6</f>
        <v>NE</v>
      </c>
      <c r="D20" s="14" t="n">
        <f aca="false">'📋 SCORECARD'!H6</f>
        <v>54</v>
      </c>
      <c r="E20" s="14" t="n">
        <f aca="false">'📋 SCORECARD'!I6</f>
        <v>0</v>
      </c>
      <c r="F20" s="47" t="n">
        <f aca="false">IFERROR('📋 SCORECARD'!I6/'📋 SCORECARD'!H6,"")</f>
        <v>0</v>
      </c>
      <c r="H20" s="12" t="n">
        <v>3</v>
      </c>
      <c r="I20" s="13" t="str">
        <f aca="false">'📋 SCORECARD'!B6</f>
        <v>Hartford Ave – Providence, RI</v>
      </c>
      <c r="J20" s="12" t="str">
        <f aca="false">'📋 SCORECARD'!C6</f>
        <v>NE</v>
      </c>
      <c r="K20" s="14" t="n">
        <f aca="false">'📋 SCORECARD'!L6</f>
        <v>10</v>
      </c>
      <c r="L20" s="14" t="n">
        <f aca="false">'📋 SCORECARD'!M6</f>
        <v>0</v>
      </c>
      <c r="M20" s="47" t="n">
        <f aca="false">IFERROR('📋 SCORECARD'!M6/'📋 SCORECARD'!L6,"")</f>
        <v>0</v>
      </c>
    </row>
    <row r="21" customFormat="false" ht="19.5" hidden="false" customHeight="true" outlineLevel="0" collapsed="false">
      <c r="A21" s="9" t="n">
        <v>4</v>
      </c>
      <c r="B21" s="10" t="str">
        <f aca="false">'📋 SCORECARD'!B7</f>
        <v>Holyoke Street – Holyoke Street Holyoke, MA</v>
      </c>
      <c r="C21" s="9" t="str">
        <f aca="false">'📋 SCORECARD'!C7</f>
        <v>NE</v>
      </c>
      <c r="D21" s="11" t="n">
        <f aca="false">'📋 SCORECARD'!H7</f>
        <v>48</v>
      </c>
      <c r="E21" s="11" t="n">
        <f aca="false">'📋 SCORECARD'!I7</f>
        <v>0</v>
      </c>
      <c r="F21" s="48" t="n">
        <f aca="false">IFERROR('📋 SCORECARD'!I7/'📋 SCORECARD'!H7,"")</f>
        <v>0</v>
      </c>
      <c r="H21" s="9" t="n">
        <v>4</v>
      </c>
      <c r="I21" s="10" t="str">
        <f aca="false">'📋 SCORECARD'!B7</f>
        <v>Holyoke Street – Holyoke Street Holyoke, MA</v>
      </c>
      <c r="J21" s="9" t="str">
        <f aca="false">'📋 SCORECARD'!C7</f>
        <v>NE</v>
      </c>
      <c r="K21" s="11" t="n">
        <f aca="false">'📋 SCORECARD'!L7</f>
        <v>9</v>
      </c>
      <c r="L21" s="11" t="n">
        <f aca="false">'📋 SCORECARD'!M7</f>
        <v>0</v>
      </c>
      <c r="M21" s="48" t="n">
        <f aca="false">IFERROR('📋 SCORECARD'!M7/'📋 SCORECARD'!L7,"")</f>
        <v>0</v>
      </c>
    </row>
    <row r="22" customFormat="false" ht="19.5" hidden="false" customHeight="true" outlineLevel="0" collapsed="false">
      <c r="A22" s="12" t="n">
        <v>5</v>
      </c>
      <c r="B22" s="13" t="str">
        <f aca="false">'📋 SCORECARD'!B8</f>
        <v>Granite St – Braintree, MA</v>
      </c>
      <c r="C22" s="12" t="str">
        <f aca="false">'📋 SCORECARD'!C8</f>
        <v>NE</v>
      </c>
      <c r="D22" s="14" t="n">
        <f aca="false">'📋 SCORECARD'!H8</f>
        <v>56</v>
      </c>
      <c r="E22" s="14" t="n">
        <f aca="false">'📋 SCORECARD'!I8</f>
        <v>0</v>
      </c>
      <c r="F22" s="47" t="n">
        <f aca="false">IFERROR('📋 SCORECARD'!I8/'📋 SCORECARD'!H8,"")</f>
        <v>0</v>
      </c>
      <c r="H22" s="12" t="n">
        <v>5</v>
      </c>
      <c r="I22" s="13" t="str">
        <f aca="false">'📋 SCORECARD'!B8</f>
        <v>Granite St – Braintree, MA</v>
      </c>
      <c r="J22" s="12" t="str">
        <f aca="false">'📋 SCORECARD'!C8</f>
        <v>NE</v>
      </c>
      <c r="K22" s="14" t="n">
        <f aca="false">'📋 SCORECARD'!L8</f>
        <v>11</v>
      </c>
      <c r="L22" s="14" t="n">
        <f aca="false">'📋 SCORECARD'!M8</f>
        <v>0</v>
      </c>
      <c r="M22" s="47" t="n">
        <f aca="false">IFERROR('📋 SCORECARD'!M8/'📋 SCORECARD'!L8,"")</f>
        <v>0</v>
      </c>
    </row>
    <row r="23" customFormat="false" ht="19.5" hidden="false" customHeight="true" outlineLevel="0" collapsed="false">
      <c r="A23" s="9" t="n">
        <v>6</v>
      </c>
      <c r="B23" s="10" t="str">
        <f aca="false">'📋 SCORECARD'!B9</f>
        <v>S Frontage – New London, CT</v>
      </c>
      <c r="C23" s="9" t="str">
        <f aca="false">'📋 SCORECARD'!C9</f>
        <v>NE</v>
      </c>
      <c r="D23" s="11" t="n">
        <f aca="false">'📋 SCORECARD'!H9</f>
        <v>44</v>
      </c>
      <c r="E23" s="11" t="n">
        <f aca="false">'📋 SCORECARD'!I9</f>
        <v>0</v>
      </c>
      <c r="F23" s="48" t="n">
        <f aca="false">IFERROR('📋 SCORECARD'!I9/'📋 SCORECARD'!H9,"")</f>
        <v>0</v>
      </c>
      <c r="H23" s="9" t="n">
        <v>6</v>
      </c>
      <c r="I23" s="10" t="str">
        <f aca="false">'📋 SCORECARD'!B9</f>
        <v>S Frontage – New London, CT</v>
      </c>
      <c r="J23" s="9" t="str">
        <f aca="false">'📋 SCORECARD'!C9</f>
        <v>NE</v>
      </c>
      <c r="K23" s="11" t="n">
        <f aca="false">'📋 SCORECARD'!L9</f>
        <v>10</v>
      </c>
      <c r="L23" s="11" t="n">
        <f aca="false">'📋 SCORECARD'!M9</f>
        <v>0</v>
      </c>
      <c r="M23" s="48" t="n">
        <f aca="false">IFERROR('📋 SCORECARD'!M9/'📋 SCORECARD'!L9,"")</f>
        <v>0</v>
      </c>
    </row>
    <row r="24" customFormat="false" ht="19.5" hidden="false" customHeight="true" outlineLevel="0" collapsed="false">
      <c r="A24" s="12" t="n">
        <v>7</v>
      </c>
      <c r="B24" s="13" t="str">
        <f aca="false">'📋 SCORECARD'!B10</f>
        <v>Geyer Springs – Little Rock, AR</v>
      </c>
      <c r="C24" s="12" t="str">
        <f aca="false">'📋 SCORECARD'!C10</f>
        <v>CENTRAL</v>
      </c>
      <c r="D24" s="14" t="n">
        <f aca="false">'📋 SCORECARD'!H10</f>
        <v>47</v>
      </c>
      <c r="E24" s="14" t="n">
        <f aca="false">'📋 SCORECARD'!I10</f>
        <v>0</v>
      </c>
      <c r="F24" s="47" t="n">
        <f aca="false">IFERROR('📋 SCORECARD'!I10/'📋 SCORECARD'!H10,"")</f>
        <v>0</v>
      </c>
      <c r="H24" s="12" t="n">
        <v>7</v>
      </c>
      <c r="I24" s="13" t="str">
        <f aca="false">'📋 SCORECARD'!B10</f>
        <v>Geyer Springs – Little Rock, AR</v>
      </c>
      <c r="J24" s="12" t="str">
        <f aca="false">'📋 SCORECARD'!C10</f>
        <v>CENTRAL</v>
      </c>
      <c r="K24" s="14" t="n">
        <f aca="false">'📋 SCORECARD'!L10</f>
        <v>17</v>
      </c>
      <c r="L24" s="14" t="n">
        <f aca="false">'📋 SCORECARD'!M10</f>
        <v>0</v>
      </c>
      <c r="M24" s="47" t="n">
        <f aca="false">IFERROR('📋 SCORECARD'!M10/'📋 SCORECARD'!L10,"")</f>
        <v>0</v>
      </c>
    </row>
    <row r="25" customFormat="false" ht="19.5" hidden="false" customHeight="true" outlineLevel="0" collapsed="false">
      <c r="A25" s="9" t="n">
        <v>8</v>
      </c>
      <c r="B25" s="10" t="str">
        <f aca="false">'📋 SCORECARD'!B11</f>
        <v>E Magnolia – Knoxville, TN</v>
      </c>
      <c r="C25" s="9" t="str">
        <f aca="false">'📋 SCORECARD'!C11</f>
        <v>CENTRAL</v>
      </c>
      <c r="D25" s="11" t="n">
        <f aca="false">'📋 SCORECARD'!H11</f>
        <v>42</v>
      </c>
      <c r="E25" s="11" t="n">
        <f aca="false">'📋 SCORECARD'!I11</f>
        <v>0</v>
      </c>
      <c r="F25" s="48" t="n">
        <f aca="false">IFERROR('📋 SCORECARD'!I11/'📋 SCORECARD'!H11,"")</f>
        <v>0</v>
      </c>
      <c r="H25" s="9" t="n">
        <v>8</v>
      </c>
      <c r="I25" s="10" t="str">
        <f aca="false">'📋 SCORECARD'!B11</f>
        <v>E Magnolia – Knoxville, TN</v>
      </c>
      <c r="J25" s="9" t="str">
        <f aca="false">'📋 SCORECARD'!C11</f>
        <v>CENTRAL</v>
      </c>
      <c r="K25" s="11" t="n">
        <f aca="false">'📋 SCORECARD'!L11</f>
        <v>16</v>
      </c>
      <c r="L25" s="11" t="n">
        <f aca="false">'📋 SCORECARD'!M11</f>
        <v>0</v>
      </c>
      <c r="M25" s="48" t="n">
        <f aca="false">IFERROR('📋 SCORECARD'!M11/'📋 SCORECARD'!L11,"")</f>
        <v>0</v>
      </c>
    </row>
    <row r="26" customFormat="false" ht="19.5" hidden="false" customHeight="true" outlineLevel="0" collapsed="false">
      <c r="A26" s="12" t="n">
        <v>9</v>
      </c>
      <c r="B26" s="13" t="str">
        <f aca="false">'📋 SCORECARD'!B12</f>
        <v>N Broadway – Knoxville, TN</v>
      </c>
      <c r="C26" s="12" t="str">
        <f aca="false">'📋 SCORECARD'!C12</f>
        <v>CENTRAL</v>
      </c>
      <c r="D26" s="14" t="n">
        <f aca="false">'📋 SCORECARD'!H12</f>
        <v>35</v>
      </c>
      <c r="E26" s="14" t="n">
        <f aca="false">'📋 SCORECARD'!I12</f>
        <v>0</v>
      </c>
      <c r="F26" s="47" t="n">
        <f aca="false">IFERROR('📋 SCORECARD'!I12/'📋 SCORECARD'!H12,"")</f>
        <v>0</v>
      </c>
      <c r="H26" s="12" t="n">
        <v>9</v>
      </c>
      <c r="I26" s="13" t="str">
        <f aca="false">'📋 SCORECARD'!B12</f>
        <v>N Broadway – Knoxville, TN</v>
      </c>
      <c r="J26" s="12" t="str">
        <f aca="false">'📋 SCORECARD'!C12</f>
        <v>CENTRAL</v>
      </c>
      <c r="K26" s="14" t="n">
        <f aca="false">'📋 SCORECARD'!L12</f>
        <v>16</v>
      </c>
      <c r="L26" s="14" t="n">
        <f aca="false">'📋 SCORECARD'!M12</f>
        <v>0</v>
      </c>
      <c r="M26" s="47" t="n">
        <f aca="false">IFERROR('📋 SCORECARD'!M12/'📋 SCORECARD'!L12,"")</f>
        <v>0</v>
      </c>
    </row>
    <row r="27" customFormat="false" ht="19.5" hidden="false" customHeight="true" outlineLevel="0" collapsed="false">
      <c r="A27" s="9" t="n">
        <v>10</v>
      </c>
      <c r="B27" s="10" t="str">
        <f aca="false">'📋 SCORECARD'!B13</f>
        <v>Iyannough Rd., – Hyannis, MA</v>
      </c>
      <c r="C27" s="9" t="str">
        <f aca="false">'📋 SCORECARD'!C13</f>
        <v>NE</v>
      </c>
      <c r="D27" s="11" t="n">
        <f aca="false">'📋 SCORECARD'!H13</f>
        <v>36</v>
      </c>
      <c r="E27" s="11" t="n">
        <f aca="false">'📋 SCORECARD'!I13</f>
        <v>0</v>
      </c>
      <c r="F27" s="48" t="n">
        <f aca="false">IFERROR('📋 SCORECARD'!I13/'📋 SCORECARD'!H13,"")</f>
        <v>0</v>
      </c>
      <c r="H27" s="9" t="n">
        <v>10</v>
      </c>
      <c r="I27" s="10" t="str">
        <f aca="false">'📋 SCORECARD'!B13</f>
        <v>Iyannough Rd., – Hyannis, MA</v>
      </c>
      <c r="J27" s="9" t="str">
        <f aca="false">'📋 SCORECARD'!C13</f>
        <v>NE</v>
      </c>
      <c r="K27" s="11" t="n">
        <f aca="false">'📋 SCORECARD'!L13</f>
        <v>9</v>
      </c>
      <c r="L27" s="11" t="n">
        <f aca="false">'📋 SCORECARD'!M13</f>
        <v>0</v>
      </c>
      <c r="M27" s="48" t="n">
        <f aca="false">IFERROR('📋 SCORECARD'!M13/'📋 SCORECARD'!L13,"")</f>
        <v>0</v>
      </c>
    </row>
  </sheetData>
  <mergeCells count="5">
    <mergeCell ref="A1:J1"/>
    <mergeCell ref="A2:F2"/>
    <mergeCell ref="H2:M2"/>
    <mergeCell ref="A16:F16"/>
    <mergeCell ref="H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13"/>
    <col collapsed="false" customWidth="true" hidden="false" outlineLevel="0" max="11" min="11" style="1" width="16"/>
    <col collapsed="false" customWidth="true" hidden="false" outlineLevel="0" max="13" min="12" style="1" width="12"/>
  </cols>
  <sheetData>
    <row r="1" customFormat="false" ht="31.5" hidden="false" customHeight="true" outlineLevel="0" collapsed="false">
      <c r="A1" s="51" t="s">
        <v>113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customFormat="false" ht="27.75" hidden="false" customHeight="true" outlineLevel="0" collapsed="false">
      <c r="A2" s="8" t="s">
        <v>114</v>
      </c>
      <c r="B2" s="8" t="s">
        <v>115</v>
      </c>
      <c r="C2" s="8" t="s">
        <v>116</v>
      </c>
      <c r="D2" s="8" t="s">
        <v>117</v>
      </c>
      <c r="E2" s="8" t="s">
        <v>118</v>
      </c>
      <c r="F2" s="8" t="s">
        <v>119</v>
      </c>
      <c r="G2" s="8" t="s">
        <v>120</v>
      </c>
      <c r="H2" s="8" t="s">
        <v>121</v>
      </c>
      <c r="I2" s="8" t="s">
        <v>122</v>
      </c>
      <c r="J2" s="8" t="s">
        <v>123</v>
      </c>
      <c r="K2" s="8" t="s">
        <v>124</v>
      </c>
      <c r="L2" s="8" t="s">
        <v>125</v>
      </c>
      <c r="M2" s="8" t="s">
        <v>126</v>
      </c>
    </row>
    <row r="3" customFormat="false" ht="18" hidden="false" customHeight="true" outlineLevel="0" collapsed="false">
      <c r="A3" s="10" t="s">
        <v>102</v>
      </c>
      <c r="B3" s="9" t="n">
        <v>10224662</v>
      </c>
      <c r="C3" s="11" t="n">
        <v>39</v>
      </c>
      <c r="D3" s="11" t="n">
        <v>2</v>
      </c>
      <c r="E3" s="11" t="n">
        <v>14</v>
      </c>
      <c r="F3" s="11" t="n">
        <v>2</v>
      </c>
      <c r="G3" s="11" t="n">
        <v>5</v>
      </c>
      <c r="H3" s="11" t="n">
        <v>0</v>
      </c>
      <c r="I3" s="11" t="n">
        <v>7</v>
      </c>
      <c r="J3" s="11" t="n">
        <v>62</v>
      </c>
      <c r="K3" s="11" t="n">
        <v>69</v>
      </c>
      <c r="L3" s="9" t="s">
        <v>127</v>
      </c>
      <c r="M3" s="9" t="s">
        <v>128</v>
      </c>
    </row>
    <row r="4" customFormat="false" ht="18" hidden="false" customHeight="true" outlineLevel="0" collapsed="false">
      <c r="A4" s="13" t="s">
        <v>94</v>
      </c>
      <c r="B4" s="12" t="n">
        <v>10217203</v>
      </c>
      <c r="C4" s="14" t="n">
        <v>47</v>
      </c>
      <c r="D4" s="14" t="n">
        <v>5</v>
      </c>
      <c r="E4" s="14" t="n">
        <v>16</v>
      </c>
      <c r="F4" s="14" t="n">
        <v>2</v>
      </c>
      <c r="G4" s="14" t="n">
        <v>7</v>
      </c>
      <c r="H4" s="14" t="n">
        <v>0</v>
      </c>
      <c r="I4" s="14" t="n">
        <v>8</v>
      </c>
      <c r="J4" s="14" t="n">
        <v>77</v>
      </c>
      <c r="K4" s="14" t="n">
        <v>85</v>
      </c>
      <c r="L4" s="12" t="s">
        <v>127</v>
      </c>
      <c r="M4" s="12" t="s">
        <v>129</v>
      </c>
    </row>
    <row r="5" customFormat="false" ht="18" hidden="false" customHeight="true" outlineLevel="0" collapsed="false">
      <c r="A5" s="10" t="s">
        <v>69</v>
      </c>
      <c r="B5" s="9" t="n">
        <v>10223493</v>
      </c>
      <c r="C5" s="11" t="n">
        <v>66</v>
      </c>
      <c r="D5" s="11" t="n">
        <v>12</v>
      </c>
      <c r="E5" s="11" t="n">
        <v>28</v>
      </c>
      <c r="F5" s="11" t="n">
        <v>2</v>
      </c>
      <c r="G5" s="11" t="n">
        <v>8</v>
      </c>
      <c r="H5" s="11" t="n">
        <v>1</v>
      </c>
      <c r="I5" s="11" t="n">
        <v>17</v>
      </c>
      <c r="J5" s="11" t="n">
        <v>117</v>
      </c>
      <c r="K5" s="11" t="n">
        <v>134</v>
      </c>
      <c r="L5" s="9" t="s">
        <v>130</v>
      </c>
      <c r="M5" s="9" t="s">
        <v>131</v>
      </c>
    </row>
    <row r="6" customFormat="false" ht="18" hidden="false" customHeight="true" outlineLevel="0" collapsed="false">
      <c r="A6" s="13" t="s">
        <v>60</v>
      </c>
      <c r="B6" s="12" t="n">
        <v>10216464</v>
      </c>
      <c r="C6" s="14" t="n">
        <v>64</v>
      </c>
      <c r="D6" s="14" t="n">
        <v>20</v>
      </c>
      <c r="E6" s="14" t="n">
        <v>35</v>
      </c>
      <c r="F6" s="14" t="n">
        <v>1</v>
      </c>
      <c r="G6" s="14" t="n">
        <v>7</v>
      </c>
      <c r="H6" s="14" t="n">
        <v>1</v>
      </c>
      <c r="I6" s="14" t="n">
        <v>19</v>
      </c>
      <c r="J6" s="14" t="n">
        <v>128</v>
      </c>
      <c r="K6" s="14" t="n">
        <v>147</v>
      </c>
      <c r="L6" s="12" t="s">
        <v>130</v>
      </c>
      <c r="M6" s="12" t="s">
        <v>132</v>
      </c>
    </row>
    <row r="7" customFormat="false" ht="18" hidden="false" customHeight="true" outlineLevel="0" collapsed="false">
      <c r="A7" s="10" t="s">
        <v>58</v>
      </c>
      <c r="B7" s="9" t="n">
        <v>10205455</v>
      </c>
      <c r="C7" s="11" t="n">
        <v>73</v>
      </c>
      <c r="D7" s="11" t="n">
        <v>22</v>
      </c>
      <c r="E7" s="11" t="n">
        <v>34</v>
      </c>
      <c r="F7" s="11" t="n">
        <v>1</v>
      </c>
      <c r="G7" s="11" t="n">
        <v>8</v>
      </c>
      <c r="H7" s="11" t="n">
        <v>1</v>
      </c>
      <c r="I7" s="11" t="n">
        <v>28</v>
      </c>
      <c r="J7" s="11" t="n">
        <v>139</v>
      </c>
      <c r="K7" s="11" t="n">
        <v>167</v>
      </c>
      <c r="L7" s="9" t="s">
        <v>130</v>
      </c>
      <c r="M7" s="9" t="s">
        <v>133</v>
      </c>
    </row>
    <row r="8" customFormat="false" ht="18" hidden="false" customHeight="true" outlineLevel="0" collapsed="false">
      <c r="A8" s="13" t="s">
        <v>104</v>
      </c>
      <c r="B8" s="12" t="n">
        <v>10214947</v>
      </c>
      <c r="C8" s="14" t="n">
        <v>31</v>
      </c>
      <c r="D8" s="14" t="n">
        <v>7</v>
      </c>
      <c r="E8" s="14" t="n">
        <v>12</v>
      </c>
      <c r="F8" s="14" t="n">
        <v>0</v>
      </c>
      <c r="G8" s="14" t="n">
        <v>3</v>
      </c>
      <c r="H8" s="14" t="n">
        <v>0</v>
      </c>
      <c r="I8" s="14" t="n">
        <v>11</v>
      </c>
      <c r="J8" s="14" t="n">
        <v>53</v>
      </c>
      <c r="K8" s="14" t="n">
        <v>64</v>
      </c>
      <c r="L8" s="12" t="s">
        <v>130</v>
      </c>
      <c r="M8" s="12" t="s">
        <v>134</v>
      </c>
    </row>
    <row r="9" customFormat="false" ht="18" hidden="false" customHeight="true" outlineLevel="0" collapsed="false">
      <c r="A9" s="10" t="s">
        <v>47</v>
      </c>
      <c r="B9" s="9" t="n">
        <v>10203888</v>
      </c>
      <c r="C9" s="11" t="n">
        <v>94</v>
      </c>
      <c r="D9" s="11" t="n">
        <v>22</v>
      </c>
      <c r="E9" s="11" t="n">
        <v>40</v>
      </c>
      <c r="F9" s="11" t="n">
        <v>3</v>
      </c>
      <c r="G9" s="11" t="n">
        <v>9</v>
      </c>
      <c r="H9" s="11" t="n">
        <v>1</v>
      </c>
      <c r="I9" s="11" t="n">
        <v>24</v>
      </c>
      <c r="J9" s="11" t="n">
        <v>169</v>
      </c>
      <c r="K9" s="11" t="n">
        <v>193</v>
      </c>
      <c r="L9" s="9" t="s">
        <v>130</v>
      </c>
      <c r="M9" s="9" t="s">
        <v>131</v>
      </c>
    </row>
    <row r="10" customFormat="false" ht="18" hidden="false" customHeight="true" outlineLevel="0" collapsed="false">
      <c r="A10" s="13" t="s">
        <v>79</v>
      </c>
      <c r="B10" s="12" t="n">
        <v>10199314</v>
      </c>
      <c r="C10" s="14" t="n">
        <v>50</v>
      </c>
      <c r="D10" s="14" t="n">
        <v>15</v>
      </c>
      <c r="E10" s="14" t="n">
        <v>25</v>
      </c>
      <c r="F10" s="14" t="n">
        <v>1</v>
      </c>
      <c r="G10" s="14" t="n">
        <v>7</v>
      </c>
      <c r="H10" s="14" t="n">
        <v>1</v>
      </c>
      <c r="I10" s="14" t="n">
        <v>15</v>
      </c>
      <c r="J10" s="14" t="n">
        <v>99</v>
      </c>
      <c r="K10" s="14" t="n">
        <v>114</v>
      </c>
      <c r="L10" s="12" t="s">
        <v>130</v>
      </c>
      <c r="M10" s="12" t="s">
        <v>133</v>
      </c>
    </row>
    <row r="11" customFormat="false" ht="18" hidden="false" customHeight="true" outlineLevel="0" collapsed="false">
      <c r="A11" s="10" t="s">
        <v>49</v>
      </c>
      <c r="B11" s="9" t="n">
        <v>10217139</v>
      </c>
      <c r="C11" s="11" t="n">
        <v>94</v>
      </c>
      <c r="D11" s="11" t="n">
        <v>16</v>
      </c>
      <c r="E11" s="11" t="n">
        <v>38</v>
      </c>
      <c r="F11" s="11" t="n">
        <v>2</v>
      </c>
      <c r="G11" s="11" t="n">
        <v>14</v>
      </c>
      <c r="H11" s="11" t="n">
        <v>1</v>
      </c>
      <c r="I11" s="11" t="n">
        <v>17</v>
      </c>
      <c r="J11" s="11" t="n">
        <v>165</v>
      </c>
      <c r="K11" s="11" t="n">
        <v>182</v>
      </c>
      <c r="L11" s="9" t="s">
        <v>127</v>
      </c>
      <c r="M11" s="9" t="s">
        <v>129</v>
      </c>
    </row>
    <row r="12" customFormat="false" ht="18" hidden="false" customHeight="true" outlineLevel="0" collapsed="false">
      <c r="A12" s="13" t="s">
        <v>39</v>
      </c>
      <c r="B12" s="12" t="n">
        <v>10200885</v>
      </c>
      <c r="C12" s="14" t="n">
        <v>107</v>
      </c>
      <c r="D12" s="14" t="n">
        <v>31</v>
      </c>
      <c r="E12" s="14" t="n">
        <v>49</v>
      </c>
      <c r="F12" s="14" t="n">
        <v>2</v>
      </c>
      <c r="G12" s="14" t="n">
        <v>15</v>
      </c>
      <c r="H12" s="14" t="n">
        <v>1</v>
      </c>
      <c r="I12" s="14" t="n">
        <v>35</v>
      </c>
      <c r="J12" s="14" t="n">
        <v>205</v>
      </c>
      <c r="K12" s="14" t="n">
        <v>240</v>
      </c>
      <c r="L12" s="12" t="s">
        <v>130</v>
      </c>
      <c r="M12" s="12" t="s">
        <v>134</v>
      </c>
    </row>
    <row r="13" customFormat="false" ht="18" hidden="false" customHeight="true" outlineLevel="0" collapsed="false">
      <c r="A13" s="10" t="s">
        <v>41</v>
      </c>
      <c r="B13" s="9" t="n">
        <v>10230359</v>
      </c>
      <c r="C13" s="11" t="n">
        <v>94</v>
      </c>
      <c r="D13" s="11" t="n">
        <v>27</v>
      </c>
      <c r="E13" s="11" t="n">
        <v>49</v>
      </c>
      <c r="F13" s="11" t="n">
        <v>2</v>
      </c>
      <c r="G13" s="11" t="n">
        <v>9</v>
      </c>
      <c r="H13" s="11" t="n">
        <v>1</v>
      </c>
      <c r="I13" s="11" t="n">
        <v>24</v>
      </c>
      <c r="J13" s="11" t="n">
        <v>182</v>
      </c>
      <c r="K13" s="11" t="n">
        <v>206</v>
      </c>
      <c r="L13" s="9" t="s">
        <v>130</v>
      </c>
      <c r="M13" s="9" t="s">
        <v>134</v>
      </c>
    </row>
    <row r="14" customFormat="false" ht="18" hidden="false" customHeight="true" outlineLevel="0" collapsed="false">
      <c r="A14" s="13" t="s">
        <v>92</v>
      </c>
      <c r="B14" s="12" t="n">
        <v>10225631</v>
      </c>
      <c r="C14" s="14" t="n">
        <v>44</v>
      </c>
      <c r="D14" s="14" t="n">
        <v>11</v>
      </c>
      <c r="E14" s="14" t="n">
        <v>19</v>
      </c>
      <c r="F14" s="14" t="n">
        <v>2</v>
      </c>
      <c r="G14" s="14" t="n">
        <v>4</v>
      </c>
      <c r="H14" s="14" t="n">
        <v>0</v>
      </c>
      <c r="I14" s="14" t="n">
        <v>11</v>
      </c>
      <c r="J14" s="14" t="n">
        <v>80</v>
      </c>
      <c r="K14" s="14" t="n">
        <v>91</v>
      </c>
      <c r="L14" s="12" t="s">
        <v>130</v>
      </c>
      <c r="M14" s="12" t="s">
        <v>134</v>
      </c>
    </row>
    <row r="15" customFormat="false" ht="18" hidden="false" customHeight="true" outlineLevel="0" collapsed="false">
      <c r="A15" s="10" t="s">
        <v>62</v>
      </c>
      <c r="B15" s="9" t="n">
        <v>10211281</v>
      </c>
      <c r="C15" s="11" t="n">
        <v>73</v>
      </c>
      <c r="D15" s="11" t="n">
        <v>13</v>
      </c>
      <c r="E15" s="11" t="n">
        <v>28</v>
      </c>
      <c r="F15" s="11" t="n">
        <v>1</v>
      </c>
      <c r="G15" s="11" t="n">
        <v>12</v>
      </c>
      <c r="H15" s="11" t="n">
        <v>1</v>
      </c>
      <c r="I15" s="11" t="n">
        <v>14</v>
      </c>
      <c r="J15" s="11" t="n">
        <v>128</v>
      </c>
      <c r="K15" s="11" t="n">
        <v>142</v>
      </c>
      <c r="L15" s="9" t="s">
        <v>135</v>
      </c>
      <c r="M15" s="9" t="s">
        <v>136</v>
      </c>
    </row>
    <row r="16" customFormat="false" ht="18" hidden="false" customHeight="true" outlineLevel="0" collapsed="false">
      <c r="A16" s="13" t="s">
        <v>71</v>
      </c>
      <c r="B16" s="12" t="n">
        <v>10231417</v>
      </c>
      <c r="C16" s="14" t="n">
        <v>58</v>
      </c>
      <c r="D16" s="14" t="n">
        <v>19</v>
      </c>
      <c r="E16" s="14" t="n">
        <v>31</v>
      </c>
      <c r="F16" s="14" t="n">
        <v>1</v>
      </c>
      <c r="G16" s="14" t="n">
        <v>7</v>
      </c>
      <c r="H16" s="14" t="n">
        <v>0</v>
      </c>
      <c r="I16" s="14" t="n">
        <v>20</v>
      </c>
      <c r="J16" s="14" t="n">
        <v>116</v>
      </c>
      <c r="K16" s="14" t="n">
        <v>136</v>
      </c>
      <c r="L16" s="12" t="s">
        <v>130</v>
      </c>
      <c r="M16" s="12" t="s">
        <v>134</v>
      </c>
    </row>
    <row r="17" customFormat="false" ht="18" hidden="false" customHeight="true" outlineLevel="0" collapsed="false">
      <c r="A17" s="10" t="s">
        <v>65</v>
      </c>
      <c r="B17" s="9" t="n">
        <v>10216460</v>
      </c>
      <c r="C17" s="11" t="n">
        <v>63</v>
      </c>
      <c r="D17" s="11" t="n">
        <v>17</v>
      </c>
      <c r="E17" s="11" t="n">
        <v>29</v>
      </c>
      <c r="F17" s="11" t="n">
        <v>2</v>
      </c>
      <c r="G17" s="11" t="n">
        <v>7</v>
      </c>
      <c r="H17" s="11" t="n">
        <v>1</v>
      </c>
      <c r="I17" s="11" t="n">
        <v>15</v>
      </c>
      <c r="J17" s="11" t="n">
        <v>119</v>
      </c>
      <c r="K17" s="11" t="n">
        <v>134</v>
      </c>
      <c r="L17" s="9" t="s">
        <v>130</v>
      </c>
      <c r="M17" s="9" t="s">
        <v>134</v>
      </c>
    </row>
    <row r="18" customFormat="false" ht="18" hidden="false" customHeight="true" outlineLevel="0" collapsed="false">
      <c r="A18" s="13" t="s">
        <v>84</v>
      </c>
      <c r="B18" s="12" t="n">
        <v>10203393</v>
      </c>
      <c r="C18" s="14" t="n">
        <v>49</v>
      </c>
      <c r="D18" s="14" t="n">
        <v>13</v>
      </c>
      <c r="E18" s="14" t="n">
        <v>20</v>
      </c>
      <c r="F18" s="14" t="n">
        <v>1</v>
      </c>
      <c r="G18" s="14" t="n">
        <v>7</v>
      </c>
      <c r="H18" s="14" t="n">
        <v>0</v>
      </c>
      <c r="I18" s="14" t="n">
        <v>12</v>
      </c>
      <c r="J18" s="14" t="n">
        <v>90</v>
      </c>
      <c r="K18" s="14" t="n">
        <v>102</v>
      </c>
      <c r="L18" s="12" t="s">
        <v>130</v>
      </c>
      <c r="M18" s="12" t="s">
        <v>131</v>
      </c>
    </row>
    <row r="19" customFormat="false" ht="18" hidden="false" customHeight="true" outlineLevel="0" collapsed="false">
      <c r="A19" s="10" t="s">
        <v>73</v>
      </c>
      <c r="B19" s="9" t="n">
        <v>10216463</v>
      </c>
      <c r="C19" s="11" t="n">
        <v>55</v>
      </c>
      <c r="D19" s="11" t="n">
        <v>18</v>
      </c>
      <c r="E19" s="11" t="n">
        <v>32</v>
      </c>
      <c r="F19" s="11" t="n">
        <v>1</v>
      </c>
      <c r="G19" s="11" t="n">
        <v>7</v>
      </c>
      <c r="H19" s="11" t="n">
        <v>0</v>
      </c>
      <c r="I19" s="11" t="n">
        <v>16</v>
      </c>
      <c r="J19" s="11" t="n">
        <v>113</v>
      </c>
      <c r="K19" s="11" t="n">
        <v>129</v>
      </c>
      <c r="L19" s="9" t="s">
        <v>130</v>
      </c>
      <c r="M19" s="9" t="s">
        <v>134</v>
      </c>
    </row>
    <row r="20" customFormat="false" ht="18" hidden="false" customHeight="true" outlineLevel="0" collapsed="false">
      <c r="A20" s="13" t="s">
        <v>80</v>
      </c>
      <c r="B20" s="12" t="n">
        <v>10226580</v>
      </c>
      <c r="C20" s="14" t="n">
        <v>52</v>
      </c>
      <c r="D20" s="14" t="n">
        <v>16</v>
      </c>
      <c r="E20" s="14" t="n">
        <v>21</v>
      </c>
      <c r="F20" s="14" t="n">
        <v>1</v>
      </c>
      <c r="G20" s="14" t="n">
        <v>4</v>
      </c>
      <c r="H20" s="14" t="n">
        <v>1</v>
      </c>
      <c r="I20" s="14" t="n">
        <v>14</v>
      </c>
      <c r="J20" s="14" t="n">
        <v>95</v>
      </c>
      <c r="K20" s="14" t="n">
        <v>109</v>
      </c>
      <c r="L20" s="12" t="s">
        <v>130</v>
      </c>
      <c r="M20" s="12" t="s">
        <v>137</v>
      </c>
    </row>
    <row r="21" customFormat="false" ht="18" hidden="false" customHeight="true" outlineLevel="0" collapsed="false">
      <c r="A21" s="10" t="s">
        <v>43</v>
      </c>
      <c r="B21" s="9" t="n">
        <v>10276859</v>
      </c>
      <c r="C21" s="11" t="n">
        <v>101</v>
      </c>
      <c r="D21" s="11" t="n">
        <v>18</v>
      </c>
      <c r="E21" s="11" t="n">
        <v>43</v>
      </c>
      <c r="F21" s="11" t="n">
        <v>2</v>
      </c>
      <c r="G21" s="11" t="n">
        <v>8</v>
      </c>
      <c r="H21" s="11" t="n">
        <v>1</v>
      </c>
      <c r="I21" s="11" t="n">
        <v>30</v>
      </c>
      <c r="J21" s="11" t="n">
        <v>173</v>
      </c>
      <c r="K21" s="11" t="n">
        <v>203</v>
      </c>
      <c r="L21" s="9" t="s">
        <v>130</v>
      </c>
      <c r="M21" s="9" t="s">
        <v>137</v>
      </c>
    </row>
    <row r="22" customFormat="false" ht="18" hidden="false" customHeight="true" outlineLevel="0" collapsed="false">
      <c r="A22" s="13" t="s">
        <v>36</v>
      </c>
      <c r="B22" s="12" t="n">
        <v>10222690</v>
      </c>
      <c r="C22" s="14" t="n">
        <v>113</v>
      </c>
      <c r="D22" s="14" t="n">
        <v>35</v>
      </c>
      <c r="E22" s="14" t="n">
        <v>73</v>
      </c>
      <c r="F22" s="14" t="n">
        <v>2</v>
      </c>
      <c r="G22" s="14" t="n">
        <v>14</v>
      </c>
      <c r="H22" s="14" t="n">
        <v>1</v>
      </c>
      <c r="I22" s="14" t="n">
        <v>27</v>
      </c>
      <c r="J22" s="14" t="n">
        <v>238</v>
      </c>
      <c r="K22" s="14" t="n">
        <v>265</v>
      </c>
      <c r="L22" s="12" t="s">
        <v>130</v>
      </c>
      <c r="M22" s="12" t="s">
        <v>138</v>
      </c>
    </row>
    <row r="23" customFormat="false" ht="18" hidden="false" customHeight="true" outlineLevel="0" collapsed="false">
      <c r="A23" s="10" t="s">
        <v>77</v>
      </c>
      <c r="B23" s="9" t="n">
        <v>10224924</v>
      </c>
      <c r="C23" s="11" t="n">
        <v>56</v>
      </c>
      <c r="D23" s="11" t="n">
        <v>13</v>
      </c>
      <c r="E23" s="11" t="n">
        <v>26</v>
      </c>
      <c r="F23" s="11" t="n">
        <v>1</v>
      </c>
      <c r="G23" s="11" t="n">
        <v>5</v>
      </c>
      <c r="H23" s="11" t="n">
        <v>0</v>
      </c>
      <c r="I23" s="11" t="n">
        <v>16</v>
      </c>
      <c r="J23" s="11" t="n">
        <v>101</v>
      </c>
      <c r="K23" s="11" t="n">
        <v>117</v>
      </c>
      <c r="L23" s="9" t="s">
        <v>130</v>
      </c>
      <c r="M23" s="9" t="s">
        <v>138</v>
      </c>
    </row>
    <row r="24" customFormat="false" ht="18" hidden="false" customHeight="true" outlineLevel="0" collapsed="false">
      <c r="A24" s="13" t="s">
        <v>75</v>
      </c>
      <c r="B24" s="12" t="n">
        <v>10198970</v>
      </c>
      <c r="C24" s="14" t="n">
        <v>50</v>
      </c>
      <c r="D24" s="14" t="n">
        <v>18</v>
      </c>
      <c r="E24" s="14" t="n">
        <v>31</v>
      </c>
      <c r="F24" s="14" t="n">
        <v>2</v>
      </c>
      <c r="G24" s="14" t="n">
        <v>7</v>
      </c>
      <c r="H24" s="14" t="n">
        <v>0</v>
      </c>
      <c r="I24" s="14" t="n">
        <v>17</v>
      </c>
      <c r="J24" s="14" t="n">
        <v>108</v>
      </c>
      <c r="K24" s="14" t="n">
        <v>125</v>
      </c>
      <c r="L24" s="12" t="s">
        <v>130</v>
      </c>
      <c r="M24" s="12" t="s">
        <v>134</v>
      </c>
    </row>
    <row r="25" customFormat="false" ht="18" hidden="false" customHeight="true" outlineLevel="0" collapsed="false">
      <c r="A25" s="10" t="s">
        <v>45</v>
      </c>
      <c r="B25" s="9" t="n">
        <v>10203668</v>
      </c>
      <c r="C25" s="11" t="n">
        <v>79</v>
      </c>
      <c r="D25" s="11" t="n">
        <v>30</v>
      </c>
      <c r="E25" s="11" t="n">
        <v>50</v>
      </c>
      <c r="F25" s="11" t="n">
        <v>2</v>
      </c>
      <c r="G25" s="11" t="n">
        <v>10</v>
      </c>
      <c r="H25" s="11" t="n">
        <v>1</v>
      </c>
      <c r="I25" s="11" t="n">
        <v>33</v>
      </c>
      <c r="J25" s="11" t="n">
        <v>172</v>
      </c>
      <c r="K25" s="11" t="n">
        <v>205</v>
      </c>
      <c r="L25" s="9" t="s">
        <v>130</v>
      </c>
      <c r="M25" s="9" t="s">
        <v>139</v>
      </c>
    </row>
    <row r="26" customFormat="false" ht="18" hidden="false" customHeight="true" outlineLevel="0" collapsed="false">
      <c r="A26" s="13" t="s">
        <v>82</v>
      </c>
      <c r="B26" s="12" t="n">
        <v>10229039</v>
      </c>
      <c r="C26" s="14" t="n">
        <v>54</v>
      </c>
      <c r="D26" s="14" t="n">
        <v>8</v>
      </c>
      <c r="E26" s="14" t="n">
        <v>22</v>
      </c>
      <c r="F26" s="14" t="n">
        <v>0</v>
      </c>
      <c r="G26" s="14" t="n">
        <v>7</v>
      </c>
      <c r="H26" s="14" t="n">
        <v>0</v>
      </c>
      <c r="I26" s="14" t="n">
        <v>19</v>
      </c>
      <c r="J26" s="14" t="n">
        <v>91</v>
      </c>
      <c r="K26" s="14" t="n">
        <v>110</v>
      </c>
      <c r="L26" s="12" t="s">
        <v>130</v>
      </c>
      <c r="M26" s="12" t="s">
        <v>133</v>
      </c>
    </row>
    <row r="27" customFormat="false" ht="18" hidden="false" customHeight="true" outlineLevel="0" collapsed="false">
      <c r="A27" s="10" t="s">
        <v>96</v>
      </c>
      <c r="B27" s="9" t="n">
        <v>10211168</v>
      </c>
      <c r="C27" s="11" t="n">
        <v>41</v>
      </c>
      <c r="D27" s="11" t="n">
        <v>12</v>
      </c>
      <c r="E27" s="11" t="n">
        <v>16</v>
      </c>
      <c r="F27" s="11" t="n">
        <v>2</v>
      </c>
      <c r="G27" s="11" t="n">
        <v>4</v>
      </c>
      <c r="H27" s="11" t="n">
        <v>0</v>
      </c>
      <c r="I27" s="11" t="n">
        <v>9</v>
      </c>
      <c r="J27" s="11" t="n">
        <v>75</v>
      </c>
      <c r="K27" s="11" t="n">
        <v>84</v>
      </c>
      <c r="L27" s="9" t="s">
        <v>130</v>
      </c>
      <c r="M27" s="9" t="s">
        <v>134</v>
      </c>
    </row>
    <row r="28" customFormat="false" ht="18" hidden="false" customHeight="true" outlineLevel="0" collapsed="false">
      <c r="A28" s="13" t="s">
        <v>86</v>
      </c>
      <c r="B28" s="12" t="n">
        <v>10226935</v>
      </c>
      <c r="C28" s="14" t="n">
        <v>48</v>
      </c>
      <c r="D28" s="14" t="n">
        <v>13</v>
      </c>
      <c r="E28" s="14" t="n">
        <v>20</v>
      </c>
      <c r="F28" s="14" t="n">
        <v>1</v>
      </c>
      <c r="G28" s="14" t="n">
        <v>3</v>
      </c>
      <c r="H28" s="14" t="n">
        <v>0</v>
      </c>
      <c r="I28" s="14" t="n">
        <v>13</v>
      </c>
      <c r="J28" s="14" t="n">
        <v>85</v>
      </c>
      <c r="K28" s="14" t="n">
        <v>98</v>
      </c>
      <c r="L28" s="12" t="s">
        <v>130</v>
      </c>
      <c r="M28" s="12" t="s">
        <v>137</v>
      </c>
    </row>
    <row r="29" customFormat="false" ht="18" hidden="false" customHeight="true" outlineLevel="0" collapsed="false">
      <c r="A29" s="10" t="s">
        <v>56</v>
      </c>
      <c r="B29" s="9" t="n">
        <v>10202357</v>
      </c>
      <c r="C29" s="11" t="n">
        <v>84</v>
      </c>
      <c r="D29" s="11" t="n">
        <v>19</v>
      </c>
      <c r="E29" s="11" t="n">
        <v>32</v>
      </c>
      <c r="F29" s="11" t="n">
        <v>2</v>
      </c>
      <c r="G29" s="11" t="n">
        <v>8</v>
      </c>
      <c r="H29" s="11" t="n">
        <v>1</v>
      </c>
      <c r="I29" s="11" t="n">
        <v>21</v>
      </c>
      <c r="J29" s="11" t="n">
        <v>146</v>
      </c>
      <c r="K29" s="11" t="n">
        <v>167</v>
      </c>
      <c r="L29" s="9" t="s">
        <v>130</v>
      </c>
      <c r="M29" s="9" t="s">
        <v>133</v>
      </c>
    </row>
    <row r="30" customFormat="false" ht="18" hidden="false" customHeight="true" outlineLevel="0" collapsed="false">
      <c r="A30" s="13" t="s">
        <v>52</v>
      </c>
      <c r="B30" s="12" t="n">
        <v>10217455</v>
      </c>
      <c r="C30" s="14" t="n">
        <v>80</v>
      </c>
      <c r="D30" s="14" t="n">
        <v>25</v>
      </c>
      <c r="E30" s="14" t="n">
        <v>42</v>
      </c>
      <c r="F30" s="14" t="n">
        <v>2</v>
      </c>
      <c r="G30" s="14" t="n">
        <v>15</v>
      </c>
      <c r="H30" s="14" t="n">
        <v>1</v>
      </c>
      <c r="I30" s="14" t="n">
        <v>20</v>
      </c>
      <c r="J30" s="14" t="n">
        <v>165</v>
      </c>
      <c r="K30" s="14" t="n">
        <v>185</v>
      </c>
      <c r="L30" s="12" t="s">
        <v>127</v>
      </c>
      <c r="M30" s="12" t="s">
        <v>128</v>
      </c>
    </row>
    <row r="31" customFormat="false" ht="18" hidden="false" customHeight="true" outlineLevel="0" collapsed="false">
      <c r="A31" s="10" t="s">
        <v>90</v>
      </c>
      <c r="B31" s="9" t="n">
        <v>10217429</v>
      </c>
      <c r="C31" s="11" t="n">
        <v>49</v>
      </c>
      <c r="D31" s="11" t="n">
        <v>6</v>
      </c>
      <c r="E31" s="11" t="n">
        <v>18</v>
      </c>
      <c r="F31" s="11" t="n">
        <v>1</v>
      </c>
      <c r="G31" s="11" t="n">
        <v>8</v>
      </c>
      <c r="H31" s="11" t="n">
        <v>1</v>
      </c>
      <c r="I31" s="11" t="n">
        <v>10</v>
      </c>
      <c r="J31" s="11" t="n">
        <v>83</v>
      </c>
      <c r="K31" s="11" t="n">
        <v>93</v>
      </c>
      <c r="L31" s="9" t="s">
        <v>135</v>
      </c>
      <c r="M31" s="9" t="s">
        <v>136</v>
      </c>
    </row>
    <row r="32" customFormat="false" ht="18" hidden="false" customHeight="true" outlineLevel="0" collapsed="false">
      <c r="A32" s="13" t="s">
        <v>100</v>
      </c>
      <c r="B32" s="12" t="n">
        <v>10198293</v>
      </c>
      <c r="C32" s="14" t="n">
        <v>35</v>
      </c>
      <c r="D32" s="14" t="n">
        <v>9</v>
      </c>
      <c r="E32" s="14" t="n">
        <v>18</v>
      </c>
      <c r="F32" s="14" t="n">
        <v>1</v>
      </c>
      <c r="G32" s="14" t="n">
        <v>4</v>
      </c>
      <c r="H32" s="14" t="n">
        <v>0</v>
      </c>
      <c r="I32" s="14" t="n">
        <v>9</v>
      </c>
      <c r="J32" s="14" t="n">
        <v>67</v>
      </c>
      <c r="K32" s="14" t="n">
        <v>76</v>
      </c>
      <c r="L32" s="12" t="s">
        <v>130</v>
      </c>
      <c r="M32" s="12" t="s">
        <v>134</v>
      </c>
    </row>
    <row r="33" customFormat="false" ht="18" hidden="false" customHeight="true" outlineLevel="0" collapsed="false">
      <c r="A33" s="10" t="s">
        <v>67</v>
      </c>
      <c r="B33" s="9" t="n">
        <v>10214946</v>
      </c>
      <c r="C33" s="11" t="n">
        <v>57</v>
      </c>
      <c r="D33" s="11" t="n">
        <v>19</v>
      </c>
      <c r="E33" s="11" t="n">
        <v>35</v>
      </c>
      <c r="F33" s="11" t="n">
        <v>1</v>
      </c>
      <c r="G33" s="11" t="n">
        <v>7</v>
      </c>
      <c r="H33" s="11" t="n">
        <v>0</v>
      </c>
      <c r="I33" s="11" t="n">
        <v>17</v>
      </c>
      <c r="J33" s="11" t="n">
        <v>119</v>
      </c>
      <c r="K33" s="11" t="n">
        <v>136</v>
      </c>
      <c r="L33" s="9" t="s">
        <v>130</v>
      </c>
      <c r="M33" s="9" t="s">
        <v>133</v>
      </c>
    </row>
    <row r="34" customFormat="false" ht="18" hidden="false" customHeight="true" outlineLevel="0" collapsed="false">
      <c r="A34" s="13" t="s">
        <v>88</v>
      </c>
      <c r="B34" s="12" t="n">
        <v>10217476</v>
      </c>
      <c r="C34" s="14" t="n">
        <v>48</v>
      </c>
      <c r="D34" s="14" t="n">
        <v>9</v>
      </c>
      <c r="E34" s="14" t="n">
        <v>18</v>
      </c>
      <c r="F34" s="14" t="n">
        <v>1</v>
      </c>
      <c r="G34" s="14" t="n">
        <v>8</v>
      </c>
      <c r="H34" s="14" t="n">
        <v>1</v>
      </c>
      <c r="I34" s="14" t="n">
        <v>13</v>
      </c>
      <c r="J34" s="14" t="n">
        <v>85</v>
      </c>
      <c r="K34" s="14" t="n">
        <v>98</v>
      </c>
      <c r="L34" s="12" t="s">
        <v>127</v>
      </c>
      <c r="M34" s="12" t="s">
        <v>128</v>
      </c>
    </row>
    <row r="35" customFormat="false" ht="18" hidden="false" customHeight="true" outlineLevel="0" collapsed="false">
      <c r="A35" s="10" t="s">
        <v>54</v>
      </c>
      <c r="B35" s="9" t="n">
        <v>10217527</v>
      </c>
      <c r="C35" s="11" t="n">
        <v>91</v>
      </c>
      <c r="D35" s="11" t="n">
        <v>14</v>
      </c>
      <c r="E35" s="11" t="n">
        <v>31</v>
      </c>
      <c r="F35" s="11" t="n">
        <v>2</v>
      </c>
      <c r="G35" s="11" t="n">
        <v>14</v>
      </c>
      <c r="H35" s="11" t="n">
        <v>1</v>
      </c>
      <c r="I35" s="11" t="n">
        <v>21</v>
      </c>
      <c r="J35" s="11" t="n">
        <v>153</v>
      </c>
      <c r="K35" s="11" t="n">
        <v>174</v>
      </c>
      <c r="L35" s="9" t="s">
        <v>127</v>
      </c>
      <c r="M35" s="9" t="s">
        <v>128</v>
      </c>
    </row>
    <row r="36" customFormat="false" ht="18" hidden="false" customHeight="true" outlineLevel="0" collapsed="false">
      <c r="A36" s="13" t="s">
        <v>98</v>
      </c>
      <c r="B36" s="12" t="n">
        <v>10222328</v>
      </c>
      <c r="C36" s="14" t="n">
        <v>36</v>
      </c>
      <c r="D36" s="14" t="n">
        <v>9</v>
      </c>
      <c r="E36" s="14" t="n">
        <v>16</v>
      </c>
      <c r="F36" s="14" t="n">
        <v>3</v>
      </c>
      <c r="G36" s="14" t="n">
        <v>5</v>
      </c>
      <c r="H36" s="14" t="n">
        <v>1</v>
      </c>
      <c r="I36" s="14" t="n">
        <v>14</v>
      </c>
      <c r="J36" s="14" t="n">
        <v>70</v>
      </c>
      <c r="K36" s="14" t="n">
        <v>84</v>
      </c>
      <c r="L36" s="12" t="s">
        <v>127</v>
      </c>
      <c r="M36" s="12" t="s">
        <v>128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5"/>
    <col collapsed="false" customWidth="true" hidden="false" outlineLevel="0" max="3" min="3" style="1" width="45"/>
  </cols>
  <sheetData>
    <row r="1" customFormat="false" ht="43.5" hidden="false" customHeight="true" outlineLevel="0" collapsed="false">
      <c r="A1" s="15" t="s">
        <v>140</v>
      </c>
      <c r="B1" s="15"/>
      <c r="C1" s="15"/>
    </row>
    <row r="3" customFormat="false" ht="21.75" hidden="false" customHeight="true" outlineLevel="0" collapsed="false">
      <c r="A3" s="52"/>
      <c r="B3" s="53"/>
      <c r="C3" s="54"/>
    </row>
    <row r="4" customFormat="false" ht="21.75" hidden="false" customHeight="true" outlineLevel="0" collapsed="false">
      <c r="A4" s="52" t="s">
        <v>141</v>
      </c>
      <c r="B4" s="55" t="s">
        <v>142</v>
      </c>
      <c r="C4" s="56" t="s">
        <v>143</v>
      </c>
    </row>
    <row r="5" customFormat="false" ht="21.75" hidden="false" customHeight="true" outlineLevel="0" collapsed="false">
      <c r="A5" s="52"/>
      <c r="B5" s="53" t="s">
        <v>144</v>
      </c>
      <c r="C5" s="54" t="s">
        <v>145</v>
      </c>
    </row>
    <row r="6" customFormat="false" ht="21.75" hidden="false" customHeight="true" outlineLevel="0" collapsed="false">
      <c r="A6" s="52"/>
      <c r="B6" s="53" t="s">
        <v>146</v>
      </c>
      <c r="C6" s="54" t="s">
        <v>147</v>
      </c>
    </row>
    <row r="7" customFormat="false" ht="21.75" hidden="false" customHeight="true" outlineLevel="0" collapsed="false">
      <c r="A7" s="52"/>
      <c r="B7" s="53"/>
      <c r="C7" s="54"/>
    </row>
    <row r="8" customFormat="false" ht="21.75" hidden="false" customHeight="true" outlineLevel="0" collapsed="false">
      <c r="A8" s="52" t="s">
        <v>148</v>
      </c>
      <c r="B8" s="55" t="s">
        <v>149</v>
      </c>
      <c r="C8" s="56" t="s">
        <v>150</v>
      </c>
    </row>
    <row r="9" customFormat="false" ht="21.75" hidden="false" customHeight="true" outlineLevel="0" collapsed="false">
      <c r="A9" s="52"/>
      <c r="B9" s="53" t="s">
        <v>151</v>
      </c>
      <c r="C9" s="54"/>
    </row>
    <row r="10" customFormat="false" ht="21.75" hidden="false" customHeight="true" outlineLevel="0" collapsed="false">
      <c r="A10" s="52"/>
      <c r="B10" s="53" t="s">
        <v>152</v>
      </c>
      <c r="C10" s="54" t="s">
        <v>153</v>
      </c>
    </row>
    <row r="11" customFormat="false" ht="21.75" hidden="false" customHeight="true" outlineLevel="0" collapsed="false">
      <c r="A11" s="52"/>
      <c r="B11" s="53" t="s">
        <v>154</v>
      </c>
      <c r="C11" s="54" t="s">
        <v>155</v>
      </c>
    </row>
    <row r="12" customFormat="false" ht="21.75" hidden="false" customHeight="true" outlineLevel="0" collapsed="false">
      <c r="A12" s="52"/>
      <c r="B12" s="53"/>
      <c r="C12" s="54"/>
    </row>
    <row r="13" customFormat="false" ht="21.75" hidden="false" customHeight="true" outlineLevel="0" collapsed="false">
      <c r="A13" s="52" t="s">
        <v>156</v>
      </c>
      <c r="B13" s="55" t="s">
        <v>157</v>
      </c>
      <c r="C13" s="56" t="s">
        <v>158</v>
      </c>
    </row>
    <row r="14" customFormat="false" ht="21.75" hidden="false" customHeight="true" outlineLevel="0" collapsed="false">
      <c r="A14" s="52"/>
      <c r="B14" s="53" t="s">
        <v>159</v>
      </c>
      <c r="C14" s="54" t="s">
        <v>160</v>
      </c>
    </row>
    <row r="15" customFormat="false" ht="21.75" hidden="false" customHeight="true" outlineLevel="0" collapsed="false">
      <c r="A15" s="52"/>
      <c r="B15" s="53" t="s">
        <v>161</v>
      </c>
      <c r="C15" s="54" t="s">
        <v>162</v>
      </c>
    </row>
    <row r="16" customFormat="false" ht="21.75" hidden="false" customHeight="true" outlineLevel="0" collapsed="false">
      <c r="A16" s="52"/>
      <c r="B16" s="53" t="s">
        <v>163</v>
      </c>
      <c r="C16" s="54" t="s">
        <v>164</v>
      </c>
    </row>
    <row r="17" customFormat="false" ht="21.75" hidden="false" customHeight="true" outlineLevel="0" collapsed="false">
      <c r="A17" s="52"/>
      <c r="B17" s="53" t="s">
        <v>165</v>
      </c>
      <c r="C17" s="54" t="s">
        <v>166</v>
      </c>
    </row>
    <row r="18" customFormat="false" ht="21.75" hidden="false" customHeight="true" outlineLevel="0" collapsed="false">
      <c r="A18" s="52"/>
      <c r="B18" s="53"/>
      <c r="C18" s="54"/>
    </row>
    <row r="19" customFormat="false" ht="21.75" hidden="false" customHeight="true" outlineLevel="0" collapsed="false">
      <c r="A19" s="52" t="s">
        <v>167</v>
      </c>
      <c r="B19" s="55" t="s">
        <v>168</v>
      </c>
      <c r="C19" s="56" t="s">
        <v>169</v>
      </c>
    </row>
    <row r="20" customFormat="false" ht="21.75" hidden="false" customHeight="true" outlineLevel="0" collapsed="false">
      <c r="A20" s="52"/>
      <c r="B20" s="53" t="s">
        <v>170</v>
      </c>
      <c r="C20" s="54" t="s">
        <v>171</v>
      </c>
    </row>
    <row r="21" customFormat="false" ht="21.75" hidden="false" customHeight="true" outlineLevel="0" collapsed="false">
      <c r="A21" s="52"/>
      <c r="B21" s="53" t="s">
        <v>172</v>
      </c>
      <c r="C21" s="54" t="s">
        <v>173</v>
      </c>
    </row>
    <row r="22" customFormat="false" ht="21.75" hidden="false" customHeight="true" outlineLevel="0" collapsed="false">
      <c r="A22" s="52"/>
      <c r="B22" s="53"/>
      <c r="C22" s="54"/>
    </row>
    <row r="23" customFormat="false" ht="21.75" hidden="false" customHeight="true" outlineLevel="0" collapsed="false">
      <c r="A23" s="52" t="s">
        <v>174</v>
      </c>
      <c r="B23" s="55" t="s">
        <v>175</v>
      </c>
      <c r="C23" s="56" t="s">
        <v>176</v>
      </c>
    </row>
    <row r="24" customFormat="false" ht="21.75" hidden="false" customHeight="true" outlineLevel="0" collapsed="false">
      <c r="A24" s="52"/>
      <c r="B24" s="53" t="s">
        <v>177</v>
      </c>
      <c r="C24" s="54" t="s">
        <v>178</v>
      </c>
    </row>
    <row r="25" customFormat="false" ht="21.75" hidden="false" customHeight="true" outlineLevel="0" collapsed="false">
      <c r="A25" s="52"/>
      <c r="B25" s="53" t="s">
        <v>179</v>
      </c>
      <c r="C25" s="54" t="s">
        <v>180</v>
      </c>
    </row>
    <row r="26" customFormat="false" ht="21.75" hidden="false" customHeight="true" outlineLevel="0" collapsed="false">
      <c r="A26" s="52"/>
      <c r="B26" s="53" t="s">
        <v>181</v>
      </c>
      <c r="C26" s="54" t="s">
        <v>182</v>
      </c>
    </row>
    <row r="27" customFormat="false" ht="21.75" hidden="false" customHeight="true" outlineLevel="0" collapsed="false">
      <c r="A27" s="52"/>
      <c r="B27" s="53"/>
      <c r="C27" s="54"/>
    </row>
    <row r="28" customFormat="false" ht="21.75" hidden="false" customHeight="true" outlineLevel="0" collapsed="false">
      <c r="A28" s="52" t="s">
        <v>183</v>
      </c>
      <c r="B28" s="55" t="s">
        <v>184</v>
      </c>
      <c r="C28" s="56"/>
    </row>
    <row r="29" customFormat="false" ht="21.75" hidden="false" customHeight="true" outlineLevel="0" collapsed="false">
      <c r="A29" s="52"/>
      <c r="B29" s="53" t="s">
        <v>185</v>
      </c>
      <c r="C29" s="54" t="s">
        <v>186</v>
      </c>
    </row>
    <row r="30" customFormat="false" ht="21.75" hidden="false" customHeight="true" outlineLevel="0" collapsed="false">
      <c r="A30" s="52"/>
      <c r="B30" s="53" t="s">
        <v>187</v>
      </c>
      <c r="C30" s="54" t="s">
        <v>188</v>
      </c>
    </row>
    <row r="31" customFormat="false" ht="21.75" hidden="false" customHeight="true" outlineLevel="0" collapsed="false">
      <c r="A31" s="52"/>
      <c r="B31" s="53" t="s">
        <v>189</v>
      </c>
      <c r="C31" s="54" t="s">
        <v>190</v>
      </c>
    </row>
    <row r="32" customFormat="false" ht="21.75" hidden="false" customHeight="true" outlineLevel="0" collapsed="false">
      <c r="A32" s="52"/>
      <c r="B32" s="53" t="s">
        <v>191</v>
      </c>
      <c r="C32" s="54" t="s">
        <v>192</v>
      </c>
    </row>
    <row r="33" customFormat="false" ht="21.75" hidden="false" customHeight="true" outlineLevel="0" collapsed="false">
      <c r="A33" s="52"/>
      <c r="B33" s="53" t="s">
        <v>193</v>
      </c>
      <c r="C33" s="54" t="s">
        <v>194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10" min="4" style="1" width="14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18"/>
  </cols>
  <sheetData>
    <row r="1" customFormat="false" ht="39.75" hidden="false" customHeight="true" outlineLevel="0" collapsed="false">
      <c r="A1" s="57" t="s">
        <v>195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customFormat="false" ht="19.5" hidden="false" customHeight="true" outlineLevel="0" collapsed="false">
      <c r="A2" s="58" t="s">
        <v>196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customFormat="false" ht="33.75" hidden="false" customHeight="true" outlineLevel="0" collapsed="false">
      <c r="A3" s="21" t="s">
        <v>197</v>
      </c>
      <c r="B3" s="21" t="s">
        <v>13</v>
      </c>
      <c r="C3" s="59" t="s">
        <v>198</v>
      </c>
      <c r="D3" s="60" t="s">
        <v>199</v>
      </c>
      <c r="E3" s="60" t="s">
        <v>200</v>
      </c>
      <c r="F3" s="27" t="s">
        <v>201</v>
      </c>
      <c r="G3" s="60" t="s">
        <v>202</v>
      </c>
      <c r="H3" s="60" t="s">
        <v>203</v>
      </c>
      <c r="I3" s="60" t="s">
        <v>204</v>
      </c>
      <c r="J3" s="60" t="s">
        <v>205</v>
      </c>
      <c r="K3" s="61" t="s">
        <v>206</v>
      </c>
      <c r="L3" s="61" t="s">
        <v>207</v>
      </c>
      <c r="M3" s="61" t="s">
        <v>208</v>
      </c>
    </row>
    <row r="4" customFormat="false" ht="21.75" hidden="false" customHeight="true" outlineLevel="0" collapsed="false">
      <c r="A4" s="62" t="n">
        <v>1</v>
      </c>
      <c r="B4" s="63" t="s">
        <v>209</v>
      </c>
      <c r="C4" s="63"/>
      <c r="D4" s="64" t="s">
        <v>210</v>
      </c>
      <c r="E4" s="64" t="s">
        <v>210</v>
      </c>
      <c r="F4" s="64" t="s">
        <v>210</v>
      </c>
      <c r="G4" s="64" t="s">
        <v>211</v>
      </c>
      <c r="H4" s="64" t="s">
        <v>212</v>
      </c>
      <c r="I4" s="64" t="s">
        <v>211</v>
      </c>
      <c r="J4" s="64" t="s">
        <v>210</v>
      </c>
      <c r="K4" s="65"/>
      <c r="L4" s="66" t="n">
        <v>4</v>
      </c>
      <c r="M4" s="64" t="s">
        <v>213</v>
      </c>
    </row>
    <row r="5" customFormat="false" ht="18" hidden="false" customHeight="true" outlineLevel="0" collapsed="false">
      <c r="A5" s="67"/>
      <c r="B5" s="68" t="s">
        <v>214</v>
      </c>
      <c r="C5" s="69" t="s">
        <v>215</v>
      </c>
      <c r="D5" s="70" t="s">
        <v>216</v>
      </c>
      <c r="E5" s="71" t="s">
        <v>217</v>
      </c>
      <c r="F5" s="70" t="s">
        <v>216</v>
      </c>
      <c r="G5" s="71" t="s">
        <v>218</v>
      </c>
      <c r="H5" s="71" t="s">
        <v>219</v>
      </c>
      <c r="I5" s="70" t="s">
        <v>216</v>
      </c>
      <c r="J5" s="71" t="s">
        <v>220</v>
      </c>
      <c r="K5" s="72" t="s">
        <v>221</v>
      </c>
      <c r="L5" s="73"/>
      <c r="M5" s="73"/>
    </row>
    <row r="6" customFormat="false" ht="18" hidden="false" customHeight="true" outlineLevel="0" collapsed="false">
      <c r="A6" s="67"/>
      <c r="B6" s="13" t="s">
        <v>222</v>
      </c>
      <c r="C6" s="74" t="s">
        <v>223</v>
      </c>
      <c r="D6" s="71" t="s">
        <v>218</v>
      </c>
      <c r="E6" s="71" t="s">
        <v>224</v>
      </c>
      <c r="F6" s="75" t="s">
        <v>225</v>
      </c>
      <c r="G6" s="70" t="s">
        <v>216</v>
      </c>
      <c r="H6" s="71" t="s">
        <v>225</v>
      </c>
      <c r="I6" s="71" t="s">
        <v>226</v>
      </c>
      <c r="J6" s="70" t="s">
        <v>216</v>
      </c>
      <c r="K6" s="76" t="s">
        <v>227</v>
      </c>
      <c r="L6" s="77"/>
      <c r="M6" s="77"/>
    </row>
    <row r="7" customFormat="false" ht="18" hidden="false" customHeight="true" outlineLevel="0" collapsed="false">
      <c r="A7" s="67"/>
      <c r="B7" s="68" t="s">
        <v>228</v>
      </c>
      <c r="C7" s="69" t="s">
        <v>229</v>
      </c>
      <c r="D7" s="71" t="s">
        <v>225</v>
      </c>
      <c r="E7" s="70" t="s">
        <v>216</v>
      </c>
      <c r="F7" s="75" t="s">
        <v>218</v>
      </c>
      <c r="G7" s="71" t="s">
        <v>225</v>
      </c>
      <c r="H7" s="71" t="s">
        <v>218</v>
      </c>
      <c r="I7" s="71" t="s">
        <v>230</v>
      </c>
      <c r="J7" s="71" t="s">
        <v>231</v>
      </c>
      <c r="K7" s="72" t="s">
        <v>232</v>
      </c>
      <c r="L7" s="73"/>
      <c r="M7" s="73"/>
    </row>
    <row r="8" customFormat="false" ht="18" hidden="false" customHeight="true" outlineLevel="0" collapsed="false">
      <c r="A8" s="67"/>
      <c r="B8" s="13" t="s">
        <v>233</v>
      </c>
      <c r="C8" s="74" t="s">
        <v>234</v>
      </c>
      <c r="D8" s="70" t="s">
        <v>216</v>
      </c>
      <c r="E8" s="70" t="s">
        <v>216</v>
      </c>
      <c r="F8" s="70" t="s">
        <v>216</v>
      </c>
      <c r="G8" s="71" t="s">
        <v>225</v>
      </c>
      <c r="H8" s="71" t="s">
        <v>225</v>
      </c>
      <c r="I8" s="71" t="s">
        <v>235</v>
      </c>
      <c r="J8" s="70" t="s">
        <v>216</v>
      </c>
      <c r="K8" s="76" t="s">
        <v>236</v>
      </c>
      <c r="L8" s="77"/>
      <c r="M8" s="77"/>
    </row>
    <row r="9" customFormat="false" ht="6" hidden="false" customHeight="true" outlineLevel="0" collapsed="false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</row>
    <row r="10" customFormat="false" ht="21.75" hidden="false" customHeight="true" outlineLevel="0" collapsed="false">
      <c r="A10" s="62" t="n">
        <v>2</v>
      </c>
      <c r="B10" s="63" t="s">
        <v>237</v>
      </c>
      <c r="C10" s="63"/>
      <c r="D10" s="64" t="s">
        <v>210</v>
      </c>
      <c r="E10" s="64" t="s">
        <v>210</v>
      </c>
      <c r="F10" s="64" t="s">
        <v>210</v>
      </c>
      <c r="G10" s="64" t="s">
        <v>210</v>
      </c>
      <c r="H10" s="64" t="s">
        <v>211</v>
      </c>
      <c r="I10" s="64" t="s">
        <v>211</v>
      </c>
      <c r="J10" s="79" t="s">
        <v>238</v>
      </c>
      <c r="K10" s="65"/>
      <c r="L10" s="66" t="n">
        <v>5</v>
      </c>
      <c r="M10" s="79" t="s">
        <v>239</v>
      </c>
    </row>
    <row r="11" customFormat="false" ht="18" hidden="false" customHeight="true" outlineLevel="0" collapsed="false">
      <c r="A11" s="67"/>
      <c r="B11" s="68" t="s">
        <v>240</v>
      </c>
      <c r="C11" s="69" t="s">
        <v>241</v>
      </c>
      <c r="D11" s="71" t="s">
        <v>242</v>
      </c>
      <c r="E11" s="70" t="s">
        <v>216</v>
      </c>
      <c r="F11" s="75" t="s">
        <v>243</v>
      </c>
      <c r="G11" s="70" t="s">
        <v>216</v>
      </c>
      <c r="H11" s="71" t="s">
        <v>230</v>
      </c>
      <c r="I11" s="71" t="s">
        <v>244</v>
      </c>
      <c r="J11" s="70" t="s">
        <v>216</v>
      </c>
      <c r="K11" s="72" t="s">
        <v>245</v>
      </c>
      <c r="L11" s="73"/>
      <c r="M11" s="73"/>
    </row>
    <row r="12" customFormat="false" ht="18" hidden="false" customHeight="true" outlineLevel="0" collapsed="false">
      <c r="A12" s="67"/>
      <c r="B12" s="13" t="s">
        <v>246</v>
      </c>
      <c r="C12" s="74" t="s">
        <v>247</v>
      </c>
      <c r="D12" s="70" t="s">
        <v>216</v>
      </c>
      <c r="E12" s="71" t="s">
        <v>243</v>
      </c>
      <c r="F12" s="70" t="s">
        <v>216</v>
      </c>
      <c r="G12" s="71" t="s">
        <v>243</v>
      </c>
      <c r="H12" s="71" t="s">
        <v>248</v>
      </c>
      <c r="I12" s="71" t="s">
        <v>249</v>
      </c>
      <c r="J12" s="70" t="s">
        <v>216</v>
      </c>
      <c r="K12" s="76" t="s">
        <v>250</v>
      </c>
      <c r="L12" s="77"/>
      <c r="M12" s="77"/>
    </row>
    <row r="13" customFormat="false" ht="18" hidden="false" customHeight="true" outlineLevel="0" collapsed="false">
      <c r="A13" s="67"/>
      <c r="B13" s="68" t="s">
        <v>251</v>
      </c>
      <c r="C13" s="69" t="s">
        <v>252</v>
      </c>
      <c r="D13" s="70" t="s">
        <v>216</v>
      </c>
      <c r="E13" s="70" t="s">
        <v>216</v>
      </c>
      <c r="F13" s="75" t="s">
        <v>253</v>
      </c>
      <c r="G13" s="71" t="s">
        <v>253</v>
      </c>
      <c r="H13" s="71" t="s">
        <v>254</v>
      </c>
      <c r="I13" s="70" t="s">
        <v>216</v>
      </c>
      <c r="J13" s="70" t="s">
        <v>216</v>
      </c>
      <c r="K13" s="72" t="s">
        <v>255</v>
      </c>
      <c r="L13" s="73"/>
      <c r="M13" s="73"/>
    </row>
    <row r="14" customFormat="false" ht="18" hidden="false" customHeight="true" outlineLevel="0" collapsed="false">
      <c r="A14" s="67"/>
      <c r="B14" s="13" t="s">
        <v>233</v>
      </c>
      <c r="C14" s="74" t="s">
        <v>234</v>
      </c>
      <c r="D14" s="71" t="s">
        <v>253</v>
      </c>
      <c r="E14" s="71" t="s">
        <v>253</v>
      </c>
      <c r="F14" s="70" t="s">
        <v>216</v>
      </c>
      <c r="G14" s="70" t="s">
        <v>216</v>
      </c>
      <c r="H14" s="70" t="s">
        <v>216</v>
      </c>
      <c r="I14" s="70" t="s">
        <v>216</v>
      </c>
      <c r="J14" s="70" t="s">
        <v>216</v>
      </c>
      <c r="K14" s="76" t="s">
        <v>256</v>
      </c>
      <c r="L14" s="77"/>
      <c r="M14" s="77"/>
    </row>
    <row r="15" customFormat="false" ht="18" hidden="false" customHeight="true" outlineLevel="0" collapsed="false">
      <c r="A15" s="67"/>
      <c r="B15" s="68" t="s">
        <v>257</v>
      </c>
      <c r="C15" s="69" t="s">
        <v>258</v>
      </c>
      <c r="D15" s="70" t="s">
        <v>216</v>
      </c>
      <c r="E15" s="70" t="s">
        <v>216</v>
      </c>
      <c r="F15" s="70" t="s">
        <v>216</v>
      </c>
      <c r="G15" s="70" t="s">
        <v>216</v>
      </c>
      <c r="H15" s="70" t="s">
        <v>216</v>
      </c>
      <c r="I15" s="71" t="s">
        <v>259</v>
      </c>
      <c r="J15" s="70" t="s">
        <v>216</v>
      </c>
      <c r="K15" s="72" t="s">
        <v>260</v>
      </c>
      <c r="L15" s="73"/>
      <c r="M15" s="73"/>
    </row>
    <row r="16" customFormat="false" ht="6" hidden="false" customHeight="true" outlineLevel="0" collapsed="false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</row>
    <row r="17" customFormat="false" ht="21.75" hidden="false" customHeight="true" outlineLevel="0" collapsed="false">
      <c r="A17" s="62" t="n">
        <v>3</v>
      </c>
      <c r="B17" s="63" t="s">
        <v>261</v>
      </c>
      <c r="C17" s="63"/>
      <c r="D17" s="64" t="s">
        <v>210</v>
      </c>
      <c r="E17" s="64" t="s">
        <v>210</v>
      </c>
      <c r="F17" s="64" t="s">
        <v>210</v>
      </c>
      <c r="G17" s="64" t="s">
        <v>210</v>
      </c>
      <c r="H17" s="64" t="s">
        <v>211</v>
      </c>
      <c r="I17" s="64" t="s">
        <v>210</v>
      </c>
      <c r="J17" s="80" t="s">
        <v>262</v>
      </c>
      <c r="K17" s="65"/>
      <c r="L17" s="66" t="n">
        <v>3</v>
      </c>
      <c r="M17" s="81" t="s">
        <v>263</v>
      </c>
    </row>
    <row r="18" customFormat="false" ht="18" hidden="false" customHeight="true" outlineLevel="0" collapsed="false">
      <c r="A18" s="67"/>
      <c r="B18" s="68" t="s">
        <v>264</v>
      </c>
      <c r="C18" s="69" t="s">
        <v>265</v>
      </c>
      <c r="D18" s="70" t="s">
        <v>216</v>
      </c>
      <c r="E18" s="71" t="s">
        <v>224</v>
      </c>
      <c r="F18" s="70" t="s">
        <v>216</v>
      </c>
      <c r="G18" s="71" t="s">
        <v>224</v>
      </c>
      <c r="H18" s="71" t="s">
        <v>266</v>
      </c>
      <c r="I18" s="71" t="s">
        <v>224</v>
      </c>
      <c r="J18" s="70" t="s">
        <v>216</v>
      </c>
      <c r="K18" s="72" t="s">
        <v>267</v>
      </c>
      <c r="L18" s="73"/>
      <c r="M18" s="73"/>
    </row>
    <row r="19" customFormat="false" ht="18" hidden="false" customHeight="true" outlineLevel="0" collapsed="false">
      <c r="A19" s="67"/>
      <c r="B19" s="13" t="s">
        <v>268</v>
      </c>
      <c r="C19" s="74" t="s">
        <v>269</v>
      </c>
      <c r="D19" s="71" t="s">
        <v>224</v>
      </c>
      <c r="E19" s="71" t="s">
        <v>225</v>
      </c>
      <c r="F19" s="75" t="s">
        <v>224</v>
      </c>
      <c r="G19" s="70" t="s">
        <v>216</v>
      </c>
      <c r="H19" s="71" t="s">
        <v>224</v>
      </c>
      <c r="I19" s="70" t="s">
        <v>216</v>
      </c>
      <c r="J19" s="71" t="s">
        <v>270</v>
      </c>
      <c r="K19" s="76" t="s">
        <v>271</v>
      </c>
      <c r="L19" s="77"/>
      <c r="M19" s="77"/>
    </row>
    <row r="20" customFormat="false" ht="18" hidden="false" customHeight="true" outlineLevel="0" collapsed="false">
      <c r="A20" s="67"/>
      <c r="B20" s="68" t="s">
        <v>272</v>
      </c>
      <c r="C20" s="69" t="s">
        <v>273</v>
      </c>
      <c r="D20" s="71" t="s">
        <v>225</v>
      </c>
      <c r="E20" s="70" t="s">
        <v>216</v>
      </c>
      <c r="F20" s="75" t="s">
        <v>225</v>
      </c>
      <c r="G20" s="71" t="s">
        <v>225</v>
      </c>
      <c r="H20" s="71" t="s">
        <v>274</v>
      </c>
      <c r="I20" s="71" t="s">
        <v>225</v>
      </c>
      <c r="J20" s="70" t="s">
        <v>216</v>
      </c>
      <c r="K20" s="72" t="s">
        <v>275</v>
      </c>
      <c r="L20" s="73"/>
      <c r="M20" s="73"/>
    </row>
    <row r="21" customFormat="false" ht="6" hidden="false" customHeight="true" outlineLevel="0" collapsed="false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customFormat="false" ht="21.75" hidden="false" customHeight="true" outlineLevel="0" collapsed="false">
      <c r="A22" s="62" t="n">
        <v>4</v>
      </c>
      <c r="B22" s="63" t="s">
        <v>276</v>
      </c>
      <c r="C22" s="63"/>
      <c r="D22" s="64" t="s">
        <v>210</v>
      </c>
      <c r="E22" s="64" t="s">
        <v>210</v>
      </c>
      <c r="F22" s="64" t="s">
        <v>210</v>
      </c>
      <c r="G22" s="64" t="s">
        <v>210</v>
      </c>
      <c r="H22" s="64" t="s">
        <v>210</v>
      </c>
      <c r="I22" s="64" t="s">
        <v>211</v>
      </c>
      <c r="J22" s="64" t="s">
        <v>210</v>
      </c>
      <c r="K22" s="65"/>
      <c r="L22" s="66" t="n">
        <v>3</v>
      </c>
      <c r="M22" s="64" t="s">
        <v>213</v>
      </c>
    </row>
    <row r="23" customFormat="false" ht="18" hidden="false" customHeight="true" outlineLevel="0" collapsed="false">
      <c r="A23" s="67"/>
      <c r="B23" s="68" t="s">
        <v>277</v>
      </c>
      <c r="C23" s="69" t="s">
        <v>278</v>
      </c>
      <c r="D23" s="71" t="s">
        <v>279</v>
      </c>
      <c r="E23" s="71" t="s">
        <v>280</v>
      </c>
      <c r="F23" s="75" t="s">
        <v>279</v>
      </c>
      <c r="G23" s="70" t="s">
        <v>216</v>
      </c>
      <c r="H23" s="70" t="s">
        <v>216</v>
      </c>
      <c r="I23" s="71" t="s">
        <v>281</v>
      </c>
      <c r="J23" s="71" t="s">
        <v>217</v>
      </c>
      <c r="K23" s="72" t="s">
        <v>282</v>
      </c>
      <c r="L23" s="73"/>
      <c r="M23" s="73"/>
    </row>
    <row r="24" customFormat="false" ht="18" hidden="false" customHeight="true" outlineLevel="0" collapsed="false">
      <c r="A24" s="67"/>
      <c r="B24" s="13" t="s">
        <v>283</v>
      </c>
      <c r="C24" s="74" t="s">
        <v>284</v>
      </c>
      <c r="D24" s="70" t="s">
        <v>216</v>
      </c>
      <c r="E24" s="71" t="s">
        <v>279</v>
      </c>
      <c r="F24" s="75" t="s">
        <v>280</v>
      </c>
      <c r="G24" s="71" t="s">
        <v>279</v>
      </c>
      <c r="H24" s="71" t="s">
        <v>285</v>
      </c>
      <c r="I24" s="71" t="s">
        <v>286</v>
      </c>
      <c r="J24" s="70" t="s">
        <v>216</v>
      </c>
      <c r="K24" s="76" t="s">
        <v>271</v>
      </c>
      <c r="L24" s="77"/>
      <c r="M24" s="77"/>
    </row>
    <row r="25" customFormat="false" ht="18" hidden="false" customHeight="true" outlineLevel="0" collapsed="false">
      <c r="A25" s="67"/>
      <c r="B25" s="68" t="s">
        <v>287</v>
      </c>
      <c r="C25" s="69" t="s">
        <v>288</v>
      </c>
      <c r="D25" s="71" t="s">
        <v>280</v>
      </c>
      <c r="E25" s="70" t="s">
        <v>216</v>
      </c>
      <c r="F25" s="70" t="s">
        <v>216</v>
      </c>
      <c r="G25" s="71" t="s">
        <v>280</v>
      </c>
      <c r="H25" s="71" t="s">
        <v>281</v>
      </c>
      <c r="I25" s="71" t="s">
        <v>289</v>
      </c>
      <c r="J25" s="71" t="s">
        <v>217</v>
      </c>
      <c r="K25" s="72" t="s">
        <v>271</v>
      </c>
      <c r="L25" s="73"/>
      <c r="M25" s="73"/>
    </row>
    <row r="26" customFormat="false" ht="6" hidden="false" customHeight="true" outlineLevel="0" collapsed="false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</row>
    <row r="27" customFormat="false" ht="21.75" hidden="false" customHeight="true" outlineLevel="0" collapsed="false">
      <c r="A27" s="62" t="n">
        <v>5</v>
      </c>
      <c r="B27" s="63" t="s">
        <v>290</v>
      </c>
      <c r="C27" s="63"/>
      <c r="D27" s="80" t="s">
        <v>262</v>
      </c>
      <c r="E27" s="64" t="s">
        <v>210</v>
      </c>
      <c r="F27" s="64" t="s">
        <v>210</v>
      </c>
      <c r="G27" s="64" t="s">
        <v>210</v>
      </c>
      <c r="H27" s="64" t="s">
        <v>210</v>
      </c>
      <c r="I27" s="64" t="s">
        <v>210</v>
      </c>
      <c r="J27" s="64" t="s">
        <v>210</v>
      </c>
      <c r="K27" s="65"/>
      <c r="L27" s="66" t="n">
        <v>4</v>
      </c>
      <c r="M27" s="81" t="s">
        <v>263</v>
      </c>
    </row>
    <row r="28" customFormat="false" ht="18" hidden="false" customHeight="true" outlineLevel="0" collapsed="false">
      <c r="A28" s="67"/>
      <c r="B28" s="68" t="s">
        <v>291</v>
      </c>
      <c r="C28" s="69" t="s">
        <v>292</v>
      </c>
      <c r="D28" s="70" t="s">
        <v>216</v>
      </c>
      <c r="E28" s="70" t="s">
        <v>216</v>
      </c>
      <c r="F28" s="75" t="s">
        <v>235</v>
      </c>
      <c r="G28" s="71" t="s">
        <v>235</v>
      </c>
      <c r="H28" s="71" t="s">
        <v>279</v>
      </c>
      <c r="I28" s="71" t="s">
        <v>279</v>
      </c>
      <c r="J28" s="71" t="s">
        <v>219</v>
      </c>
      <c r="K28" s="72" t="s">
        <v>293</v>
      </c>
      <c r="L28" s="73"/>
      <c r="M28" s="73"/>
    </row>
    <row r="29" customFormat="false" ht="18" hidden="false" customHeight="true" outlineLevel="0" collapsed="false">
      <c r="A29" s="67"/>
      <c r="B29" s="13" t="s">
        <v>294</v>
      </c>
      <c r="C29" s="74" t="s">
        <v>295</v>
      </c>
      <c r="D29" s="70" t="s">
        <v>216</v>
      </c>
      <c r="E29" s="71" t="s">
        <v>225</v>
      </c>
      <c r="F29" s="70" t="s">
        <v>216</v>
      </c>
      <c r="G29" s="70" t="s">
        <v>216</v>
      </c>
      <c r="H29" s="70" t="s">
        <v>216</v>
      </c>
      <c r="I29" s="71" t="s">
        <v>296</v>
      </c>
      <c r="J29" s="70" t="s">
        <v>216</v>
      </c>
      <c r="K29" s="76" t="s">
        <v>297</v>
      </c>
      <c r="L29" s="77"/>
      <c r="M29" s="77"/>
    </row>
    <row r="30" customFormat="false" ht="18" hidden="false" customHeight="true" outlineLevel="0" collapsed="false">
      <c r="A30" s="67"/>
      <c r="B30" s="68" t="s">
        <v>298</v>
      </c>
      <c r="C30" s="69" t="s">
        <v>299</v>
      </c>
      <c r="D30" s="70" t="s">
        <v>216</v>
      </c>
      <c r="E30" s="70" t="s">
        <v>216</v>
      </c>
      <c r="F30" s="75" t="s">
        <v>300</v>
      </c>
      <c r="G30" s="71" t="s">
        <v>300</v>
      </c>
      <c r="H30" s="70" t="s">
        <v>216</v>
      </c>
      <c r="I30" s="70" t="s">
        <v>216</v>
      </c>
      <c r="J30" s="70" t="s">
        <v>216</v>
      </c>
      <c r="K30" s="72" t="s">
        <v>301</v>
      </c>
      <c r="L30" s="73"/>
      <c r="M30" s="73"/>
    </row>
    <row r="31" customFormat="false" ht="18" hidden="false" customHeight="true" outlineLevel="0" collapsed="false">
      <c r="A31" s="67"/>
      <c r="B31" s="13" t="s">
        <v>302</v>
      </c>
      <c r="C31" s="74" t="s">
        <v>303</v>
      </c>
      <c r="D31" s="71" t="s">
        <v>300</v>
      </c>
      <c r="E31" s="71" t="s">
        <v>300</v>
      </c>
      <c r="F31" s="70" t="s">
        <v>216</v>
      </c>
      <c r="G31" s="70" t="s">
        <v>216</v>
      </c>
      <c r="H31" s="71" t="s">
        <v>296</v>
      </c>
      <c r="I31" s="70" t="s">
        <v>216</v>
      </c>
      <c r="J31" s="71" t="s">
        <v>243</v>
      </c>
      <c r="K31" s="76" t="s">
        <v>304</v>
      </c>
      <c r="L31" s="77"/>
      <c r="M31" s="77"/>
    </row>
    <row r="32" customFormat="false" ht="6" hidden="false" customHeight="true" outlineLevel="0" collapsed="false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</row>
    <row r="33" customFormat="false" ht="21.75" hidden="false" customHeight="true" outlineLevel="0" collapsed="false">
      <c r="A33" s="62" t="n">
        <v>6</v>
      </c>
      <c r="B33" s="63" t="s">
        <v>305</v>
      </c>
      <c r="C33" s="63"/>
      <c r="D33" s="64" t="s">
        <v>211</v>
      </c>
      <c r="E33" s="64" t="s">
        <v>210</v>
      </c>
      <c r="F33" s="64" t="s">
        <v>210</v>
      </c>
      <c r="G33" s="64" t="s">
        <v>210</v>
      </c>
      <c r="H33" s="64" t="s">
        <v>211</v>
      </c>
      <c r="I33" s="64" t="s">
        <v>210</v>
      </c>
      <c r="J33" s="80" t="s">
        <v>262</v>
      </c>
      <c r="K33" s="65"/>
      <c r="L33" s="66" t="n">
        <v>5</v>
      </c>
      <c r="M33" s="81" t="s">
        <v>263</v>
      </c>
    </row>
    <row r="34" customFormat="false" ht="18" hidden="false" customHeight="true" outlineLevel="0" collapsed="false">
      <c r="A34" s="67"/>
      <c r="B34" s="68" t="s">
        <v>306</v>
      </c>
      <c r="C34" s="69" t="s">
        <v>307</v>
      </c>
      <c r="D34" s="71" t="s">
        <v>226</v>
      </c>
      <c r="E34" s="70" t="s">
        <v>216</v>
      </c>
      <c r="F34" s="70" t="s">
        <v>216</v>
      </c>
      <c r="G34" s="70" t="s">
        <v>216</v>
      </c>
      <c r="H34" s="70" t="s">
        <v>216</v>
      </c>
      <c r="I34" s="70" t="s">
        <v>216</v>
      </c>
      <c r="J34" s="70" t="s">
        <v>216</v>
      </c>
      <c r="K34" s="72" t="s">
        <v>308</v>
      </c>
      <c r="L34" s="73"/>
      <c r="M34" s="73"/>
    </row>
    <row r="35" customFormat="false" ht="18" hidden="false" customHeight="true" outlineLevel="0" collapsed="false">
      <c r="A35" s="67"/>
      <c r="B35" s="13" t="s">
        <v>309</v>
      </c>
      <c r="C35" s="74" t="s">
        <v>310</v>
      </c>
      <c r="D35" s="70" t="s">
        <v>216</v>
      </c>
      <c r="E35" s="70" t="s">
        <v>216</v>
      </c>
      <c r="F35" s="75" t="s">
        <v>311</v>
      </c>
      <c r="G35" s="71" t="s">
        <v>312</v>
      </c>
      <c r="H35" s="71" t="s">
        <v>244</v>
      </c>
      <c r="I35" s="71" t="s">
        <v>313</v>
      </c>
      <c r="J35" s="70" t="s">
        <v>216</v>
      </c>
      <c r="K35" s="76" t="s">
        <v>314</v>
      </c>
      <c r="L35" s="77"/>
      <c r="M35" s="77"/>
    </row>
    <row r="36" customFormat="false" ht="18" hidden="false" customHeight="true" outlineLevel="0" collapsed="false">
      <c r="A36" s="67"/>
      <c r="B36" s="68" t="s">
        <v>315</v>
      </c>
      <c r="C36" s="69" t="s">
        <v>316</v>
      </c>
      <c r="D36" s="70" t="s">
        <v>216</v>
      </c>
      <c r="E36" s="71" t="s">
        <v>226</v>
      </c>
      <c r="F36" s="70" t="s">
        <v>216</v>
      </c>
      <c r="G36" s="71" t="s">
        <v>317</v>
      </c>
      <c r="H36" s="71" t="s">
        <v>266</v>
      </c>
      <c r="I36" s="70" t="s">
        <v>216</v>
      </c>
      <c r="J36" s="70" t="s">
        <v>216</v>
      </c>
      <c r="K36" s="72" t="s">
        <v>318</v>
      </c>
      <c r="L36" s="73"/>
      <c r="M36" s="73"/>
    </row>
    <row r="37" customFormat="false" ht="18" hidden="false" customHeight="true" outlineLevel="0" collapsed="false">
      <c r="A37" s="67"/>
      <c r="B37" s="13" t="s">
        <v>319</v>
      </c>
      <c r="C37" s="74" t="s">
        <v>320</v>
      </c>
      <c r="D37" s="71" t="s">
        <v>321</v>
      </c>
      <c r="E37" s="71" t="s">
        <v>321</v>
      </c>
      <c r="F37" s="70" t="s">
        <v>216</v>
      </c>
      <c r="G37" s="70" t="s">
        <v>216</v>
      </c>
      <c r="H37" s="70" t="s">
        <v>216</v>
      </c>
      <c r="I37" s="70" t="s">
        <v>216</v>
      </c>
      <c r="J37" s="70" t="s">
        <v>216</v>
      </c>
      <c r="K37" s="76" t="s">
        <v>322</v>
      </c>
      <c r="L37" s="77"/>
      <c r="M37" s="77"/>
    </row>
    <row r="38" customFormat="false" ht="18" hidden="false" customHeight="true" outlineLevel="0" collapsed="false">
      <c r="A38" s="67"/>
      <c r="B38" s="68" t="s">
        <v>323</v>
      </c>
      <c r="C38" s="69" t="s">
        <v>324</v>
      </c>
      <c r="D38" s="71" t="s">
        <v>312</v>
      </c>
      <c r="E38" s="70" t="s">
        <v>216</v>
      </c>
      <c r="F38" s="75" t="s">
        <v>325</v>
      </c>
      <c r="G38" s="70" t="s">
        <v>216</v>
      </c>
      <c r="H38" s="71" t="s">
        <v>326</v>
      </c>
      <c r="I38" s="71" t="s">
        <v>325</v>
      </c>
      <c r="J38" s="71" t="s">
        <v>243</v>
      </c>
      <c r="K38" s="72" t="s">
        <v>327</v>
      </c>
      <c r="L38" s="73"/>
      <c r="M38" s="73"/>
    </row>
    <row r="39" customFormat="false" ht="6" hidden="false" customHeight="true" outlineLevel="0" collapsed="false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</row>
    <row r="40" customFormat="false" ht="21.75" hidden="false" customHeight="true" outlineLevel="0" collapsed="false">
      <c r="A40" s="62" t="n">
        <v>7</v>
      </c>
      <c r="B40" s="63" t="s">
        <v>328</v>
      </c>
      <c r="C40" s="63"/>
      <c r="D40" s="64" t="s">
        <v>210</v>
      </c>
      <c r="E40" s="64" t="s">
        <v>210</v>
      </c>
      <c r="F40" s="64" t="s">
        <v>210</v>
      </c>
      <c r="G40" s="64" t="s">
        <v>210</v>
      </c>
      <c r="H40" s="64" t="s">
        <v>210</v>
      </c>
      <c r="I40" s="64" t="s">
        <v>210</v>
      </c>
      <c r="J40" s="64" t="s">
        <v>210</v>
      </c>
      <c r="K40" s="65"/>
      <c r="L40" s="66" t="n">
        <v>3</v>
      </c>
      <c r="M40" s="64" t="s">
        <v>213</v>
      </c>
    </row>
    <row r="41" customFormat="false" ht="18" hidden="false" customHeight="true" outlineLevel="0" collapsed="false">
      <c r="A41" s="67"/>
      <c r="B41" s="68" t="s">
        <v>329</v>
      </c>
      <c r="C41" s="69" t="s">
        <v>330</v>
      </c>
      <c r="D41" s="70" t="s">
        <v>216</v>
      </c>
      <c r="E41" s="70" t="s">
        <v>216</v>
      </c>
      <c r="F41" s="75" t="s">
        <v>331</v>
      </c>
      <c r="G41" s="70" t="s">
        <v>216</v>
      </c>
      <c r="H41" s="71" t="s">
        <v>331</v>
      </c>
      <c r="I41" s="71" t="s">
        <v>317</v>
      </c>
      <c r="J41" s="71" t="s">
        <v>332</v>
      </c>
      <c r="K41" s="72" t="s">
        <v>333</v>
      </c>
      <c r="L41" s="73"/>
      <c r="M41" s="73"/>
    </row>
    <row r="42" customFormat="false" ht="18" hidden="false" customHeight="true" outlineLevel="0" collapsed="false">
      <c r="A42" s="67"/>
      <c r="B42" s="13" t="s">
        <v>334</v>
      </c>
      <c r="C42" s="74" t="s">
        <v>335</v>
      </c>
      <c r="D42" s="71" t="s">
        <v>317</v>
      </c>
      <c r="E42" s="71" t="s">
        <v>317</v>
      </c>
      <c r="F42" s="75" t="s">
        <v>225</v>
      </c>
      <c r="G42" s="71" t="s">
        <v>317</v>
      </c>
      <c r="H42" s="71" t="s">
        <v>280</v>
      </c>
      <c r="I42" s="70" t="s">
        <v>216</v>
      </c>
      <c r="J42" s="70" t="s">
        <v>216</v>
      </c>
      <c r="K42" s="76" t="s">
        <v>336</v>
      </c>
      <c r="L42" s="77"/>
      <c r="M42" s="77"/>
    </row>
    <row r="43" customFormat="false" ht="18" hidden="false" customHeight="true" outlineLevel="0" collapsed="false">
      <c r="A43" s="67"/>
      <c r="B43" s="68" t="s">
        <v>337</v>
      </c>
      <c r="C43" s="69" t="s">
        <v>338</v>
      </c>
      <c r="D43" s="71" t="s">
        <v>266</v>
      </c>
      <c r="E43" s="71" t="s">
        <v>266</v>
      </c>
      <c r="F43" s="70" t="s">
        <v>216</v>
      </c>
      <c r="G43" s="71" t="s">
        <v>266</v>
      </c>
      <c r="H43" s="70" t="s">
        <v>216</v>
      </c>
      <c r="I43" s="71" t="s">
        <v>266</v>
      </c>
      <c r="J43" s="71" t="s">
        <v>219</v>
      </c>
      <c r="K43" s="72" t="s">
        <v>339</v>
      </c>
      <c r="L43" s="73"/>
      <c r="M43" s="73"/>
    </row>
    <row r="44" customFormat="false" ht="6" hidden="false" customHeight="true" outlineLevel="0" collapsed="false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</row>
    <row r="45" customFormat="false" ht="21.75" hidden="false" customHeight="true" outlineLevel="0" collapsed="false">
      <c r="A45" s="62" t="n">
        <v>8</v>
      </c>
      <c r="B45" s="63" t="s">
        <v>340</v>
      </c>
      <c r="C45" s="63"/>
      <c r="D45" s="64" t="s">
        <v>210</v>
      </c>
      <c r="E45" s="64" t="s">
        <v>210</v>
      </c>
      <c r="F45" s="64" t="s">
        <v>210</v>
      </c>
      <c r="G45" s="64" t="s">
        <v>210</v>
      </c>
      <c r="H45" s="64" t="s">
        <v>210</v>
      </c>
      <c r="I45" s="64" t="s">
        <v>210</v>
      </c>
      <c r="J45" s="80" t="s">
        <v>262</v>
      </c>
      <c r="K45" s="65"/>
      <c r="L45" s="66" t="n">
        <v>4</v>
      </c>
      <c r="M45" s="81" t="s">
        <v>263</v>
      </c>
    </row>
    <row r="46" customFormat="false" ht="18" hidden="false" customHeight="true" outlineLevel="0" collapsed="false">
      <c r="A46" s="67"/>
      <c r="B46" s="68" t="s">
        <v>341</v>
      </c>
      <c r="C46" s="69" t="s">
        <v>342</v>
      </c>
      <c r="D46" s="71" t="s">
        <v>225</v>
      </c>
      <c r="E46" s="70" t="s">
        <v>216</v>
      </c>
      <c r="F46" s="70" t="s">
        <v>216</v>
      </c>
      <c r="G46" s="70" t="s">
        <v>216</v>
      </c>
      <c r="H46" s="70" t="s">
        <v>216</v>
      </c>
      <c r="I46" s="70" t="s">
        <v>216</v>
      </c>
      <c r="J46" s="70" t="s">
        <v>216</v>
      </c>
      <c r="K46" s="72" t="s">
        <v>260</v>
      </c>
      <c r="L46" s="73"/>
      <c r="M46" s="73"/>
    </row>
    <row r="47" customFormat="false" ht="18" hidden="false" customHeight="true" outlineLevel="0" collapsed="false">
      <c r="A47" s="67"/>
      <c r="B47" s="13" t="s">
        <v>343</v>
      </c>
      <c r="C47" s="74" t="s">
        <v>344</v>
      </c>
      <c r="D47" s="70" t="s">
        <v>216</v>
      </c>
      <c r="E47" s="71" t="s">
        <v>345</v>
      </c>
      <c r="F47" s="75" t="s">
        <v>317</v>
      </c>
      <c r="G47" s="71" t="s">
        <v>317</v>
      </c>
      <c r="H47" s="71" t="s">
        <v>317</v>
      </c>
      <c r="I47" s="71" t="s">
        <v>317</v>
      </c>
      <c r="J47" s="70" t="s">
        <v>216</v>
      </c>
      <c r="K47" s="76" t="s">
        <v>346</v>
      </c>
      <c r="L47" s="77"/>
      <c r="M47" s="77"/>
    </row>
    <row r="48" customFormat="false" ht="18" hidden="false" customHeight="true" outlineLevel="0" collapsed="false">
      <c r="A48" s="67"/>
      <c r="B48" s="68" t="s">
        <v>347</v>
      </c>
      <c r="C48" s="69" t="s">
        <v>348</v>
      </c>
      <c r="D48" s="71" t="s">
        <v>313</v>
      </c>
      <c r="E48" s="71" t="s">
        <v>317</v>
      </c>
      <c r="F48" s="70" t="s">
        <v>216</v>
      </c>
      <c r="G48" s="70" t="s">
        <v>216</v>
      </c>
      <c r="H48" s="71" t="s">
        <v>280</v>
      </c>
      <c r="I48" s="71" t="s">
        <v>317</v>
      </c>
      <c r="J48" s="71" t="s">
        <v>270</v>
      </c>
      <c r="K48" s="72" t="s">
        <v>349</v>
      </c>
      <c r="L48" s="73"/>
      <c r="M48" s="73"/>
    </row>
    <row r="49" customFormat="false" ht="18" hidden="false" customHeight="true" outlineLevel="0" collapsed="false">
      <c r="A49" s="67"/>
      <c r="B49" s="13" t="s">
        <v>350</v>
      </c>
      <c r="C49" s="74" t="s">
        <v>351</v>
      </c>
      <c r="D49" s="70" t="s">
        <v>216</v>
      </c>
      <c r="E49" s="70" t="s">
        <v>216</v>
      </c>
      <c r="F49" s="75" t="s">
        <v>352</v>
      </c>
      <c r="G49" s="71" t="s">
        <v>331</v>
      </c>
      <c r="H49" s="70" t="s">
        <v>216</v>
      </c>
      <c r="I49" s="70" t="s">
        <v>216</v>
      </c>
      <c r="J49" s="70" t="s">
        <v>216</v>
      </c>
      <c r="K49" s="76" t="s">
        <v>353</v>
      </c>
      <c r="L49" s="77"/>
      <c r="M49" s="77"/>
    </row>
    <row r="50" customFormat="false" ht="6" hidden="false" customHeight="true" outlineLevel="0" collapsed="false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</row>
    <row r="51" customFormat="false" ht="21.75" hidden="false" customHeight="true" outlineLevel="0" collapsed="false">
      <c r="A51" s="62" t="n">
        <v>9</v>
      </c>
      <c r="B51" s="63" t="s">
        <v>354</v>
      </c>
      <c r="C51" s="63"/>
      <c r="D51" s="64" t="s">
        <v>211</v>
      </c>
      <c r="E51" s="64" t="s">
        <v>210</v>
      </c>
      <c r="F51" s="64" t="s">
        <v>210</v>
      </c>
      <c r="G51" s="64" t="s">
        <v>210</v>
      </c>
      <c r="H51" s="64" t="s">
        <v>210</v>
      </c>
      <c r="I51" s="64" t="s">
        <v>210</v>
      </c>
      <c r="J51" s="64" t="s">
        <v>210</v>
      </c>
      <c r="K51" s="65"/>
      <c r="L51" s="66" t="n">
        <v>4</v>
      </c>
      <c r="M51" s="64" t="s">
        <v>213</v>
      </c>
    </row>
    <row r="52" customFormat="false" ht="18" hidden="false" customHeight="true" outlineLevel="0" collapsed="false">
      <c r="A52" s="67"/>
      <c r="B52" s="68" t="s">
        <v>355</v>
      </c>
      <c r="C52" s="69" t="s">
        <v>356</v>
      </c>
      <c r="D52" s="70" t="s">
        <v>216</v>
      </c>
      <c r="E52" s="71" t="s">
        <v>331</v>
      </c>
      <c r="F52" s="75" t="s">
        <v>331</v>
      </c>
      <c r="G52" s="71" t="s">
        <v>317</v>
      </c>
      <c r="H52" s="71" t="s">
        <v>331</v>
      </c>
      <c r="I52" s="71" t="s">
        <v>331</v>
      </c>
      <c r="J52" s="70" t="s">
        <v>216</v>
      </c>
      <c r="K52" s="72" t="s">
        <v>357</v>
      </c>
      <c r="L52" s="73"/>
      <c r="M52" s="73"/>
    </row>
    <row r="53" customFormat="false" ht="18" hidden="false" customHeight="true" outlineLevel="0" collapsed="false">
      <c r="A53" s="67"/>
      <c r="B53" s="13" t="s">
        <v>358</v>
      </c>
      <c r="C53" s="74" t="s">
        <v>359</v>
      </c>
      <c r="D53" s="71" t="s">
        <v>331</v>
      </c>
      <c r="E53" s="70" t="s">
        <v>216</v>
      </c>
      <c r="F53" s="70" t="s">
        <v>216</v>
      </c>
      <c r="G53" s="70" t="s">
        <v>216</v>
      </c>
      <c r="H53" s="71" t="s">
        <v>280</v>
      </c>
      <c r="I53" s="70" t="s">
        <v>216</v>
      </c>
      <c r="J53" s="70" t="s">
        <v>216</v>
      </c>
      <c r="K53" s="76" t="s">
        <v>360</v>
      </c>
      <c r="L53" s="77"/>
      <c r="M53" s="77"/>
    </row>
    <row r="54" customFormat="false" ht="18" hidden="false" customHeight="true" outlineLevel="0" collapsed="false">
      <c r="A54" s="67"/>
      <c r="B54" s="68" t="s">
        <v>361</v>
      </c>
      <c r="C54" s="69" t="s">
        <v>362</v>
      </c>
      <c r="D54" s="71" t="s">
        <v>266</v>
      </c>
      <c r="E54" s="71" t="s">
        <v>225</v>
      </c>
      <c r="F54" s="75" t="s">
        <v>225</v>
      </c>
      <c r="G54" s="71" t="s">
        <v>225</v>
      </c>
      <c r="H54" s="70" t="s">
        <v>216</v>
      </c>
      <c r="I54" s="70" t="s">
        <v>216</v>
      </c>
      <c r="J54" s="71" t="s">
        <v>270</v>
      </c>
      <c r="K54" s="72" t="s">
        <v>363</v>
      </c>
      <c r="L54" s="73"/>
      <c r="M54" s="73"/>
    </row>
    <row r="55" customFormat="false" ht="18" hidden="false" customHeight="true" outlineLevel="0" collapsed="false">
      <c r="A55" s="67"/>
      <c r="B55" s="13" t="s">
        <v>364</v>
      </c>
      <c r="C55" s="74" t="s">
        <v>365</v>
      </c>
      <c r="D55" s="71" t="s">
        <v>225</v>
      </c>
      <c r="E55" s="70" t="s">
        <v>216</v>
      </c>
      <c r="F55" s="70" t="s">
        <v>216</v>
      </c>
      <c r="G55" s="70" t="s">
        <v>216</v>
      </c>
      <c r="H55" s="70" t="s">
        <v>216</v>
      </c>
      <c r="I55" s="71" t="s">
        <v>366</v>
      </c>
      <c r="J55" s="71" t="s">
        <v>235</v>
      </c>
      <c r="K55" s="76" t="s">
        <v>318</v>
      </c>
      <c r="L55" s="77"/>
      <c r="M55" s="77"/>
    </row>
    <row r="56" customFormat="false" ht="6" hidden="false" customHeight="true" outlineLevel="0" collapsed="false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</row>
    <row r="57" customFormat="false" ht="21.75" hidden="false" customHeight="true" outlineLevel="0" collapsed="false">
      <c r="A57" s="62" t="n">
        <v>10</v>
      </c>
      <c r="B57" s="63" t="s">
        <v>367</v>
      </c>
      <c r="C57" s="63"/>
      <c r="D57" s="80" t="s">
        <v>262</v>
      </c>
      <c r="E57" s="64" t="s">
        <v>210</v>
      </c>
      <c r="F57" s="80" t="s">
        <v>262</v>
      </c>
      <c r="G57" s="64" t="s">
        <v>210</v>
      </c>
      <c r="H57" s="64" t="s">
        <v>210</v>
      </c>
      <c r="I57" s="64" t="s">
        <v>210</v>
      </c>
      <c r="J57" s="80" t="s">
        <v>262</v>
      </c>
      <c r="K57" s="65"/>
      <c r="L57" s="66" t="n">
        <v>3</v>
      </c>
      <c r="M57" s="81" t="s">
        <v>368</v>
      </c>
    </row>
    <row r="58" customFormat="false" ht="18" hidden="false" customHeight="true" outlineLevel="0" collapsed="false">
      <c r="A58" s="67"/>
      <c r="B58" s="68" t="s">
        <v>369</v>
      </c>
      <c r="C58" s="69" t="s">
        <v>370</v>
      </c>
      <c r="D58" s="70" t="s">
        <v>216</v>
      </c>
      <c r="E58" s="71" t="s">
        <v>286</v>
      </c>
      <c r="F58" s="70" t="s">
        <v>216</v>
      </c>
      <c r="G58" s="71" t="s">
        <v>286</v>
      </c>
      <c r="H58" s="71" t="s">
        <v>254</v>
      </c>
      <c r="I58" s="71" t="s">
        <v>254</v>
      </c>
      <c r="J58" s="70" t="s">
        <v>216</v>
      </c>
      <c r="K58" s="72" t="s">
        <v>236</v>
      </c>
      <c r="L58" s="73"/>
      <c r="M58" s="73"/>
    </row>
    <row r="59" customFormat="false" ht="18" hidden="false" customHeight="true" outlineLevel="0" collapsed="false">
      <c r="A59" s="67"/>
      <c r="B59" s="13" t="s">
        <v>257</v>
      </c>
      <c r="C59" s="74" t="s">
        <v>258</v>
      </c>
      <c r="D59" s="70" t="s">
        <v>216</v>
      </c>
      <c r="E59" s="70" t="s">
        <v>216</v>
      </c>
      <c r="F59" s="75" t="s">
        <v>224</v>
      </c>
      <c r="G59" s="70" t="s">
        <v>216</v>
      </c>
      <c r="H59" s="70" t="s">
        <v>216</v>
      </c>
      <c r="I59" s="70" t="s">
        <v>216</v>
      </c>
      <c r="J59" s="70" t="s">
        <v>216</v>
      </c>
      <c r="K59" s="76" t="s">
        <v>371</v>
      </c>
      <c r="L59" s="77"/>
      <c r="M59" s="77"/>
    </row>
    <row r="60" customFormat="false" ht="18" hidden="false" customHeight="true" outlineLevel="0" collapsed="false">
      <c r="A60" s="67"/>
      <c r="B60" s="68" t="s">
        <v>372</v>
      </c>
      <c r="C60" s="69" t="s">
        <v>373</v>
      </c>
      <c r="D60" s="71" t="s">
        <v>300</v>
      </c>
      <c r="E60" s="71" t="s">
        <v>230</v>
      </c>
      <c r="F60" s="70" t="s">
        <v>216</v>
      </c>
      <c r="G60" s="71" t="s">
        <v>230</v>
      </c>
      <c r="H60" s="71" t="s">
        <v>230</v>
      </c>
      <c r="I60" s="71" t="s">
        <v>230</v>
      </c>
      <c r="J60" s="71" t="s">
        <v>374</v>
      </c>
      <c r="K60" s="72" t="s">
        <v>375</v>
      </c>
      <c r="L60" s="73"/>
      <c r="M60" s="73"/>
    </row>
    <row r="61" customFormat="false" ht="6" hidden="false" customHeight="true" outlineLevel="0" collapsed="false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customFormat="false" ht="21.75" hidden="false" customHeight="true" outlineLevel="0" collapsed="false">
      <c r="A62" s="62" t="n">
        <v>11</v>
      </c>
      <c r="B62" s="63" t="s">
        <v>376</v>
      </c>
      <c r="C62" s="63"/>
      <c r="D62" s="80" t="s">
        <v>262</v>
      </c>
      <c r="E62" s="80" t="s">
        <v>262</v>
      </c>
      <c r="F62" s="80" t="s">
        <v>262</v>
      </c>
      <c r="G62" s="80" t="s">
        <v>262</v>
      </c>
      <c r="H62" s="64" t="s">
        <v>210</v>
      </c>
      <c r="I62" s="80" t="s">
        <v>262</v>
      </c>
      <c r="J62" s="79" t="s">
        <v>238</v>
      </c>
      <c r="K62" s="65"/>
      <c r="L62" s="66" t="n">
        <v>3</v>
      </c>
      <c r="M62" s="79" t="s">
        <v>377</v>
      </c>
    </row>
    <row r="63" customFormat="false" ht="18" hidden="false" customHeight="true" outlineLevel="0" collapsed="false">
      <c r="A63" s="67"/>
      <c r="B63" s="68" t="s">
        <v>378</v>
      </c>
      <c r="C63" s="69" t="s">
        <v>379</v>
      </c>
      <c r="D63" s="71" t="s">
        <v>317</v>
      </c>
      <c r="E63" s="71" t="s">
        <v>380</v>
      </c>
      <c r="F63" s="70" t="s">
        <v>216</v>
      </c>
      <c r="G63" s="71" t="s">
        <v>317</v>
      </c>
      <c r="H63" s="71" t="s">
        <v>280</v>
      </c>
      <c r="I63" s="71" t="s">
        <v>317</v>
      </c>
      <c r="J63" s="70" t="s">
        <v>216</v>
      </c>
      <c r="K63" s="72" t="s">
        <v>336</v>
      </c>
      <c r="L63" s="73"/>
      <c r="M63" s="73"/>
    </row>
    <row r="64" customFormat="false" ht="18" hidden="false" customHeight="true" outlineLevel="0" collapsed="false">
      <c r="A64" s="67"/>
      <c r="B64" s="13" t="s">
        <v>381</v>
      </c>
      <c r="C64" s="74" t="s">
        <v>382</v>
      </c>
      <c r="D64" s="70" t="s">
        <v>216</v>
      </c>
      <c r="E64" s="70" t="s">
        <v>216</v>
      </c>
      <c r="F64" s="70" t="s">
        <v>216</v>
      </c>
      <c r="G64" s="70" t="s">
        <v>216</v>
      </c>
      <c r="H64" s="71" t="s">
        <v>383</v>
      </c>
      <c r="I64" s="70" t="s">
        <v>216</v>
      </c>
      <c r="J64" s="70" t="s">
        <v>216</v>
      </c>
      <c r="K64" s="76" t="s">
        <v>384</v>
      </c>
      <c r="L64" s="77"/>
      <c r="M64" s="77"/>
    </row>
    <row r="65" customFormat="false" ht="18" hidden="false" customHeight="true" outlineLevel="0" collapsed="false">
      <c r="A65" s="67"/>
      <c r="B65" s="68" t="s">
        <v>385</v>
      </c>
      <c r="C65" s="69" t="s">
        <v>386</v>
      </c>
      <c r="D65" s="70" t="s">
        <v>216</v>
      </c>
      <c r="E65" s="70" t="s">
        <v>216</v>
      </c>
      <c r="F65" s="75" t="s">
        <v>326</v>
      </c>
      <c r="G65" s="70" t="s">
        <v>216</v>
      </c>
      <c r="H65" s="70" t="s">
        <v>216</v>
      </c>
      <c r="I65" s="70" t="s">
        <v>216</v>
      </c>
      <c r="J65" s="70" t="s">
        <v>216</v>
      </c>
      <c r="K65" s="72" t="s">
        <v>387</v>
      </c>
      <c r="L65" s="73"/>
      <c r="M65" s="73"/>
    </row>
    <row r="66" customFormat="false" ht="6" hidden="false" customHeight="true" outlineLevel="0" collapsed="false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</row>
    <row r="67" customFormat="false" ht="21.75" hidden="false" customHeight="true" outlineLevel="0" collapsed="false">
      <c r="A67" s="62" t="n">
        <v>12</v>
      </c>
      <c r="B67" s="63" t="s">
        <v>388</v>
      </c>
      <c r="C67" s="63"/>
      <c r="D67" s="80" t="s">
        <v>262</v>
      </c>
      <c r="E67" s="80" t="s">
        <v>262</v>
      </c>
      <c r="F67" s="80" t="s">
        <v>262</v>
      </c>
      <c r="G67" s="80" t="s">
        <v>262</v>
      </c>
      <c r="H67" s="80" t="s">
        <v>262</v>
      </c>
      <c r="I67" s="80" t="s">
        <v>262</v>
      </c>
      <c r="J67" s="80" t="s">
        <v>262</v>
      </c>
      <c r="K67" s="65"/>
      <c r="L67" s="66" t="n">
        <v>3</v>
      </c>
      <c r="M67" s="81" t="s">
        <v>389</v>
      </c>
    </row>
    <row r="68" customFormat="false" ht="18" hidden="false" customHeight="true" outlineLevel="0" collapsed="false">
      <c r="A68" s="67"/>
      <c r="B68" s="68" t="s">
        <v>390</v>
      </c>
      <c r="C68" s="69" t="s">
        <v>391</v>
      </c>
      <c r="D68" s="71" t="s">
        <v>224</v>
      </c>
      <c r="E68" s="71" t="s">
        <v>224</v>
      </c>
      <c r="F68" s="75" t="s">
        <v>224</v>
      </c>
      <c r="G68" s="70" t="s">
        <v>216</v>
      </c>
      <c r="H68" s="70" t="s">
        <v>216</v>
      </c>
      <c r="I68" s="70" t="s">
        <v>216</v>
      </c>
      <c r="J68" s="71" t="s">
        <v>332</v>
      </c>
      <c r="K68" s="72" t="s">
        <v>392</v>
      </c>
      <c r="L68" s="73"/>
      <c r="M68" s="73"/>
    </row>
    <row r="69" customFormat="false" ht="18" hidden="false" customHeight="true" outlineLevel="0" collapsed="false">
      <c r="A69" s="67"/>
      <c r="B69" s="13" t="s">
        <v>294</v>
      </c>
      <c r="C69" s="74" t="s">
        <v>295</v>
      </c>
      <c r="D69" s="70" t="s">
        <v>216</v>
      </c>
      <c r="E69" s="70" t="s">
        <v>216</v>
      </c>
      <c r="F69" s="70" t="s">
        <v>216</v>
      </c>
      <c r="G69" s="71" t="s">
        <v>224</v>
      </c>
      <c r="H69" s="70" t="s">
        <v>216</v>
      </c>
      <c r="I69" s="70" t="s">
        <v>216</v>
      </c>
      <c r="J69" s="70" t="s">
        <v>216</v>
      </c>
      <c r="K69" s="76" t="s">
        <v>371</v>
      </c>
      <c r="L69" s="77"/>
      <c r="M69" s="77"/>
    </row>
    <row r="70" customFormat="false" ht="18" hidden="false" customHeight="true" outlineLevel="0" collapsed="false">
      <c r="A70" s="67"/>
      <c r="B70" s="68" t="s">
        <v>298</v>
      </c>
      <c r="C70" s="69" t="s">
        <v>299</v>
      </c>
      <c r="D70" s="70" t="s">
        <v>216</v>
      </c>
      <c r="E70" s="70" t="s">
        <v>216</v>
      </c>
      <c r="F70" s="70" t="s">
        <v>216</v>
      </c>
      <c r="G70" s="70" t="s">
        <v>216</v>
      </c>
      <c r="H70" s="71" t="s">
        <v>224</v>
      </c>
      <c r="I70" s="71" t="s">
        <v>224</v>
      </c>
      <c r="J70" s="70" t="s">
        <v>216</v>
      </c>
      <c r="K70" s="72" t="s">
        <v>393</v>
      </c>
      <c r="L70" s="73"/>
      <c r="M70" s="73"/>
    </row>
    <row r="71" customFormat="false" ht="6" hidden="false" customHeight="true" outlineLevel="0" collapsed="false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</row>
    <row r="72" customFormat="false" ht="21.75" hidden="false" customHeight="true" outlineLevel="0" collapsed="false">
      <c r="A72" s="62" t="n">
        <v>13</v>
      </c>
      <c r="B72" s="63" t="s">
        <v>394</v>
      </c>
      <c r="C72" s="63"/>
      <c r="D72" s="64" t="s">
        <v>210</v>
      </c>
      <c r="E72" s="64" t="s">
        <v>210</v>
      </c>
      <c r="F72" s="64" t="s">
        <v>210</v>
      </c>
      <c r="G72" s="64" t="s">
        <v>210</v>
      </c>
      <c r="H72" s="64" t="s">
        <v>210</v>
      </c>
      <c r="I72" s="80" t="s">
        <v>262</v>
      </c>
      <c r="J72" s="80" t="s">
        <v>262</v>
      </c>
      <c r="K72" s="65"/>
      <c r="L72" s="66" t="n">
        <v>4</v>
      </c>
      <c r="M72" s="81" t="s">
        <v>395</v>
      </c>
    </row>
    <row r="73" customFormat="false" ht="18" hidden="false" customHeight="true" outlineLevel="0" collapsed="false">
      <c r="A73" s="67"/>
      <c r="B73" s="68" t="s">
        <v>396</v>
      </c>
      <c r="C73" s="69" t="s">
        <v>397</v>
      </c>
      <c r="D73" s="71" t="s">
        <v>317</v>
      </c>
      <c r="E73" s="71" t="s">
        <v>317</v>
      </c>
      <c r="F73" s="75" t="s">
        <v>224</v>
      </c>
      <c r="G73" s="70" t="s">
        <v>216</v>
      </c>
      <c r="H73" s="71" t="s">
        <v>398</v>
      </c>
      <c r="I73" s="70" t="s">
        <v>216</v>
      </c>
      <c r="J73" s="70" t="s">
        <v>216</v>
      </c>
      <c r="K73" s="72" t="s">
        <v>392</v>
      </c>
      <c r="L73" s="73"/>
      <c r="M73" s="73"/>
    </row>
    <row r="74" customFormat="false" ht="18" hidden="false" customHeight="true" outlineLevel="0" collapsed="false">
      <c r="A74" s="67"/>
      <c r="B74" s="13" t="s">
        <v>399</v>
      </c>
      <c r="C74" s="74" t="s">
        <v>400</v>
      </c>
      <c r="D74" s="70" t="s">
        <v>216</v>
      </c>
      <c r="E74" s="70" t="s">
        <v>216</v>
      </c>
      <c r="F74" s="70" t="s">
        <v>216</v>
      </c>
      <c r="G74" s="71" t="s">
        <v>266</v>
      </c>
      <c r="H74" s="70" t="s">
        <v>216</v>
      </c>
      <c r="I74" s="71" t="s">
        <v>317</v>
      </c>
      <c r="J74" s="71" t="s">
        <v>332</v>
      </c>
      <c r="K74" s="76" t="s">
        <v>236</v>
      </c>
      <c r="L74" s="77"/>
      <c r="M74" s="77"/>
    </row>
    <row r="75" customFormat="false" ht="18" hidden="false" customHeight="true" outlineLevel="0" collapsed="false">
      <c r="A75" s="67"/>
      <c r="B75" s="68" t="s">
        <v>401</v>
      </c>
      <c r="C75" s="69" t="s">
        <v>402</v>
      </c>
      <c r="D75" s="70" t="s">
        <v>216</v>
      </c>
      <c r="E75" s="70" t="s">
        <v>216</v>
      </c>
      <c r="F75" s="70" t="s">
        <v>216</v>
      </c>
      <c r="G75" s="71" t="s">
        <v>244</v>
      </c>
      <c r="H75" s="70" t="s">
        <v>216</v>
      </c>
      <c r="I75" s="70" t="s">
        <v>216</v>
      </c>
      <c r="J75" s="70" t="s">
        <v>216</v>
      </c>
      <c r="K75" s="72" t="s">
        <v>403</v>
      </c>
      <c r="L75" s="73"/>
      <c r="M75" s="73"/>
    </row>
    <row r="76" customFormat="false" ht="18" hidden="false" customHeight="true" outlineLevel="0" collapsed="false">
      <c r="A76" s="67"/>
      <c r="B76" s="13" t="s">
        <v>404</v>
      </c>
      <c r="C76" s="74" t="s">
        <v>405</v>
      </c>
      <c r="D76" s="71" t="s">
        <v>280</v>
      </c>
      <c r="E76" s="71" t="s">
        <v>317</v>
      </c>
      <c r="F76" s="75" t="s">
        <v>317</v>
      </c>
      <c r="G76" s="70" t="s">
        <v>216</v>
      </c>
      <c r="H76" s="71" t="s">
        <v>317</v>
      </c>
      <c r="I76" s="70" t="s">
        <v>216</v>
      </c>
      <c r="J76" s="70" t="s">
        <v>216</v>
      </c>
      <c r="K76" s="76" t="s">
        <v>406</v>
      </c>
      <c r="L76" s="77"/>
      <c r="M76" s="77"/>
    </row>
    <row r="77" customFormat="false" ht="6" hidden="false" customHeight="true" outlineLevel="0" collapsed="false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</row>
    <row r="78" customFormat="false" ht="21.75" hidden="false" customHeight="true" outlineLevel="0" collapsed="false">
      <c r="A78" s="62" t="n">
        <v>14</v>
      </c>
      <c r="B78" s="63" t="s">
        <v>407</v>
      </c>
      <c r="C78" s="63"/>
      <c r="D78" s="64" t="s">
        <v>210</v>
      </c>
      <c r="E78" s="64" t="s">
        <v>210</v>
      </c>
      <c r="F78" s="64" t="s">
        <v>210</v>
      </c>
      <c r="G78" s="64" t="s">
        <v>210</v>
      </c>
      <c r="H78" s="64" t="s">
        <v>210</v>
      </c>
      <c r="I78" s="64" t="s">
        <v>211</v>
      </c>
      <c r="J78" s="79" t="s">
        <v>238</v>
      </c>
      <c r="K78" s="65"/>
      <c r="L78" s="66" t="n">
        <v>3</v>
      </c>
      <c r="M78" s="79" t="s">
        <v>239</v>
      </c>
    </row>
    <row r="79" customFormat="false" ht="18" hidden="false" customHeight="true" outlineLevel="0" collapsed="false">
      <c r="A79" s="67"/>
      <c r="B79" s="68" t="s">
        <v>408</v>
      </c>
      <c r="C79" s="69" t="s">
        <v>409</v>
      </c>
      <c r="D79" s="70" t="s">
        <v>216</v>
      </c>
      <c r="E79" s="70" t="s">
        <v>216</v>
      </c>
      <c r="F79" s="75" t="s">
        <v>224</v>
      </c>
      <c r="G79" s="71" t="s">
        <v>224</v>
      </c>
      <c r="H79" s="71" t="s">
        <v>226</v>
      </c>
      <c r="I79" s="71" t="s">
        <v>218</v>
      </c>
      <c r="J79" s="70" t="s">
        <v>216</v>
      </c>
      <c r="K79" s="72" t="s">
        <v>267</v>
      </c>
      <c r="L79" s="73"/>
      <c r="M79" s="73"/>
    </row>
    <row r="80" customFormat="false" ht="18" hidden="false" customHeight="true" outlineLevel="0" collapsed="false">
      <c r="A80" s="67"/>
      <c r="B80" s="13" t="s">
        <v>410</v>
      </c>
      <c r="C80" s="74" t="s">
        <v>411</v>
      </c>
      <c r="D80" s="71" t="s">
        <v>412</v>
      </c>
      <c r="E80" s="71" t="s">
        <v>280</v>
      </c>
      <c r="F80" s="70" t="s">
        <v>216</v>
      </c>
      <c r="G80" s="71" t="s">
        <v>413</v>
      </c>
      <c r="H80" s="71" t="s">
        <v>413</v>
      </c>
      <c r="I80" s="71" t="s">
        <v>414</v>
      </c>
      <c r="J80" s="70" t="s">
        <v>216</v>
      </c>
      <c r="K80" s="76" t="s">
        <v>415</v>
      </c>
      <c r="L80" s="77"/>
      <c r="M80" s="77"/>
    </row>
    <row r="81" customFormat="false" ht="18" hidden="false" customHeight="true" outlineLevel="0" collapsed="false">
      <c r="A81" s="67"/>
      <c r="B81" s="68" t="s">
        <v>381</v>
      </c>
      <c r="C81" s="69" t="s">
        <v>382</v>
      </c>
      <c r="D81" s="71" t="s">
        <v>224</v>
      </c>
      <c r="E81" s="71" t="s">
        <v>383</v>
      </c>
      <c r="F81" s="75" t="s">
        <v>383</v>
      </c>
      <c r="G81" s="70" t="s">
        <v>216</v>
      </c>
      <c r="H81" s="70" t="s">
        <v>216</v>
      </c>
      <c r="I81" s="71" t="s">
        <v>266</v>
      </c>
      <c r="J81" s="70" t="s">
        <v>216</v>
      </c>
      <c r="K81" s="72" t="s">
        <v>416</v>
      </c>
      <c r="L81" s="73"/>
      <c r="M81" s="73"/>
    </row>
    <row r="82" customFormat="false" ht="6" hidden="false" customHeight="true" outlineLevel="0" collapsed="false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</row>
    <row r="83" customFormat="false" ht="21.75" hidden="false" customHeight="true" outlineLevel="0" collapsed="false">
      <c r="A83" s="62" t="n">
        <v>15</v>
      </c>
      <c r="B83" s="63" t="s">
        <v>417</v>
      </c>
      <c r="C83" s="63"/>
      <c r="D83" s="80" t="s">
        <v>262</v>
      </c>
      <c r="E83" s="64" t="s">
        <v>210</v>
      </c>
      <c r="F83" s="80" t="s">
        <v>262</v>
      </c>
      <c r="G83" s="80" t="s">
        <v>262</v>
      </c>
      <c r="H83" s="64" t="s">
        <v>210</v>
      </c>
      <c r="I83" s="64" t="s">
        <v>210</v>
      </c>
      <c r="J83" s="80" t="s">
        <v>262</v>
      </c>
      <c r="K83" s="65"/>
      <c r="L83" s="66" t="n">
        <v>2</v>
      </c>
      <c r="M83" s="81" t="s">
        <v>418</v>
      </c>
    </row>
    <row r="84" customFormat="false" ht="18" hidden="false" customHeight="true" outlineLevel="0" collapsed="false">
      <c r="A84" s="67"/>
      <c r="B84" s="68" t="s">
        <v>419</v>
      </c>
      <c r="C84" s="69" t="s">
        <v>420</v>
      </c>
      <c r="D84" s="70" t="s">
        <v>216</v>
      </c>
      <c r="E84" s="71" t="s">
        <v>225</v>
      </c>
      <c r="F84" s="75" t="s">
        <v>224</v>
      </c>
      <c r="G84" s="70" t="s">
        <v>216</v>
      </c>
      <c r="H84" s="71" t="s">
        <v>244</v>
      </c>
      <c r="I84" s="71" t="s">
        <v>225</v>
      </c>
      <c r="J84" s="71" t="s">
        <v>270</v>
      </c>
      <c r="K84" s="72" t="s">
        <v>421</v>
      </c>
      <c r="L84" s="73"/>
      <c r="M84" s="73"/>
    </row>
    <row r="85" customFormat="false" ht="18" hidden="false" customHeight="true" outlineLevel="0" collapsed="false">
      <c r="A85" s="67"/>
      <c r="B85" s="13" t="s">
        <v>422</v>
      </c>
      <c r="C85" s="74" t="s">
        <v>423</v>
      </c>
      <c r="D85" s="71" t="s">
        <v>317</v>
      </c>
      <c r="E85" s="71" t="s">
        <v>317</v>
      </c>
      <c r="F85" s="70" t="s">
        <v>216</v>
      </c>
      <c r="G85" s="71" t="s">
        <v>317</v>
      </c>
      <c r="H85" s="71" t="s">
        <v>317</v>
      </c>
      <c r="I85" s="71" t="s">
        <v>311</v>
      </c>
      <c r="J85" s="70" t="s">
        <v>216</v>
      </c>
      <c r="K85" s="76" t="s">
        <v>336</v>
      </c>
      <c r="L85" s="77"/>
      <c r="M85" s="77"/>
    </row>
    <row r="86" customFormat="false" ht="6" hidden="false" customHeight="true" outlineLevel="0" collapsed="false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</row>
    <row r="87" customFormat="false" ht="21.75" hidden="false" customHeight="true" outlineLevel="0" collapsed="false">
      <c r="A87" s="62" t="n">
        <v>16</v>
      </c>
      <c r="B87" s="63" t="s">
        <v>424</v>
      </c>
      <c r="C87" s="63"/>
      <c r="D87" s="64" t="s">
        <v>210</v>
      </c>
      <c r="E87" s="64" t="s">
        <v>210</v>
      </c>
      <c r="F87" s="64" t="s">
        <v>210</v>
      </c>
      <c r="G87" s="64" t="s">
        <v>210</v>
      </c>
      <c r="H87" s="64" t="s">
        <v>210</v>
      </c>
      <c r="I87" s="64" t="s">
        <v>210</v>
      </c>
      <c r="J87" s="79" t="s">
        <v>238</v>
      </c>
      <c r="K87" s="65"/>
      <c r="L87" s="66" t="n">
        <v>3</v>
      </c>
      <c r="M87" s="79" t="s">
        <v>239</v>
      </c>
    </row>
    <row r="88" customFormat="false" ht="18" hidden="false" customHeight="true" outlineLevel="0" collapsed="false">
      <c r="A88" s="67"/>
      <c r="B88" s="68" t="s">
        <v>425</v>
      </c>
      <c r="C88" s="69" t="s">
        <v>426</v>
      </c>
      <c r="D88" s="71" t="s">
        <v>427</v>
      </c>
      <c r="E88" s="71" t="s">
        <v>427</v>
      </c>
      <c r="F88" s="75" t="s">
        <v>427</v>
      </c>
      <c r="G88" s="71" t="s">
        <v>427</v>
      </c>
      <c r="H88" s="70" t="s">
        <v>216</v>
      </c>
      <c r="I88" s="71" t="s">
        <v>428</v>
      </c>
      <c r="J88" s="70" t="s">
        <v>216</v>
      </c>
      <c r="K88" s="72" t="s">
        <v>429</v>
      </c>
      <c r="L88" s="73"/>
      <c r="M88" s="73"/>
    </row>
    <row r="89" customFormat="false" ht="18" hidden="false" customHeight="true" outlineLevel="0" collapsed="false">
      <c r="A89" s="67"/>
      <c r="B89" s="13" t="s">
        <v>430</v>
      </c>
      <c r="C89" s="74" t="s">
        <v>431</v>
      </c>
      <c r="D89" s="70" t="s">
        <v>216</v>
      </c>
      <c r="E89" s="71" t="s">
        <v>432</v>
      </c>
      <c r="F89" s="75" t="s">
        <v>432</v>
      </c>
      <c r="G89" s="70" t="s">
        <v>216</v>
      </c>
      <c r="H89" s="71" t="s">
        <v>433</v>
      </c>
      <c r="I89" s="71" t="s">
        <v>313</v>
      </c>
      <c r="J89" s="70" t="s">
        <v>216</v>
      </c>
      <c r="K89" s="76" t="s">
        <v>434</v>
      </c>
      <c r="L89" s="77"/>
      <c r="M89" s="77"/>
    </row>
    <row r="90" customFormat="false" ht="18" hidden="false" customHeight="true" outlineLevel="0" collapsed="false">
      <c r="A90" s="67"/>
      <c r="B90" s="68" t="s">
        <v>435</v>
      </c>
      <c r="C90" s="69" t="s">
        <v>436</v>
      </c>
      <c r="D90" s="71" t="s">
        <v>398</v>
      </c>
      <c r="E90" s="70" t="s">
        <v>216</v>
      </c>
      <c r="F90" s="70" t="s">
        <v>216</v>
      </c>
      <c r="G90" s="71" t="s">
        <v>432</v>
      </c>
      <c r="H90" s="71" t="s">
        <v>311</v>
      </c>
      <c r="I90" s="70" t="s">
        <v>216</v>
      </c>
      <c r="J90" s="70" t="s">
        <v>216</v>
      </c>
      <c r="K90" s="72" t="s">
        <v>255</v>
      </c>
      <c r="L90" s="73"/>
      <c r="M90" s="73"/>
    </row>
    <row r="91" customFormat="false" ht="6" hidden="false" customHeight="true" outlineLevel="0" collapsed="false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</row>
    <row r="92" customFormat="false" ht="21.75" hidden="false" customHeight="true" outlineLevel="0" collapsed="false">
      <c r="A92" s="62" t="n">
        <v>17</v>
      </c>
      <c r="B92" s="63" t="s">
        <v>437</v>
      </c>
      <c r="C92" s="63"/>
      <c r="D92" s="64" t="s">
        <v>210</v>
      </c>
      <c r="E92" s="64" t="s">
        <v>210</v>
      </c>
      <c r="F92" s="64" t="s">
        <v>210</v>
      </c>
      <c r="G92" s="64" t="s">
        <v>211</v>
      </c>
      <c r="H92" s="64" t="s">
        <v>210</v>
      </c>
      <c r="I92" s="64" t="s">
        <v>210</v>
      </c>
      <c r="J92" s="80" t="s">
        <v>262</v>
      </c>
      <c r="K92" s="65"/>
      <c r="L92" s="66" t="n">
        <v>3</v>
      </c>
      <c r="M92" s="81" t="s">
        <v>263</v>
      </c>
    </row>
    <row r="93" customFormat="false" ht="18" hidden="false" customHeight="true" outlineLevel="0" collapsed="false">
      <c r="A93" s="67"/>
      <c r="B93" s="68" t="s">
        <v>438</v>
      </c>
      <c r="C93" s="69" t="s">
        <v>439</v>
      </c>
      <c r="D93" s="70" t="s">
        <v>216</v>
      </c>
      <c r="E93" s="71" t="s">
        <v>317</v>
      </c>
      <c r="F93" s="75" t="s">
        <v>317</v>
      </c>
      <c r="G93" s="71" t="s">
        <v>440</v>
      </c>
      <c r="H93" s="71" t="s">
        <v>441</v>
      </c>
      <c r="I93" s="71" t="s">
        <v>317</v>
      </c>
      <c r="J93" s="70" t="s">
        <v>216</v>
      </c>
      <c r="K93" s="72" t="s">
        <v>346</v>
      </c>
      <c r="L93" s="73"/>
      <c r="M93" s="73"/>
    </row>
    <row r="94" customFormat="false" ht="18" hidden="false" customHeight="true" outlineLevel="0" collapsed="false">
      <c r="A94" s="67"/>
      <c r="B94" s="13" t="s">
        <v>442</v>
      </c>
      <c r="C94" s="74" t="s">
        <v>443</v>
      </c>
      <c r="D94" s="71" t="s">
        <v>266</v>
      </c>
      <c r="E94" s="71" t="s">
        <v>266</v>
      </c>
      <c r="F94" s="75" t="s">
        <v>266</v>
      </c>
      <c r="G94" s="71" t="s">
        <v>266</v>
      </c>
      <c r="H94" s="70" t="s">
        <v>216</v>
      </c>
      <c r="I94" s="70" t="s">
        <v>216</v>
      </c>
      <c r="J94" s="71" t="s">
        <v>270</v>
      </c>
      <c r="K94" s="76" t="s">
        <v>444</v>
      </c>
      <c r="L94" s="77"/>
      <c r="M94" s="77"/>
    </row>
    <row r="95" customFormat="false" ht="18" hidden="false" customHeight="true" outlineLevel="0" collapsed="false">
      <c r="A95" s="67"/>
      <c r="B95" s="68" t="s">
        <v>445</v>
      </c>
      <c r="C95" s="69" t="s">
        <v>446</v>
      </c>
      <c r="D95" s="71" t="s">
        <v>432</v>
      </c>
      <c r="E95" s="70" t="s">
        <v>216</v>
      </c>
      <c r="F95" s="70" t="s">
        <v>216</v>
      </c>
      <c r="G95" s="71" t="s">
        <v>266</v>
      </c>
      <c r="H95" s="71" t="s">
        <v>280</v>
      </c>
      <c r="I95" s="71" t="s">
        <v>225</v>
      </c>
      <c r="J95" s="70" t="s">
        <v>216</v>
      </c>
      <c r="K95" s="72" t="s">
        <v>447</v>
      </c>
      <c r="L95" s="73"/>
      <c r="M95" s="73"/>
    </row>
    <row r="96" customFormat="false" ht="6" hidden="false" customHeight="true" outlineLevel="0" collapsed="false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</row>
    <row r="97" customFormat="false" ht="21.75" hidden="false" customHeight="true" outlineLevel="0" collapsed="false">
      <c r="A97" s="62" t="n">
        <v>18</v>
      </c>
      <c r="B97" s="63" t="s">
        <v>448</v>
      </c>
      <c r="C97" s="63"/>
      <c r="D97" s="80" t="s">
        <v>262</v>
      </c>
      <c r="E97" s="80" t="s">
        <v>262</v>
      </c>
      <c r="F97" s="64" t="s">
        <v>210</v>
      </c>
      <c r="G97" s="64" t="s">
        <v>210</v>
      </c>
      <c r="H97" s="64" t="s">
        <v>210</v>
      </c>
      <c r="I97" s="80" t="s">
        <v>262</v>
      </c>
      <c r="J97" s="80" t="s">
        <v>262</v>
      </c>
      <c r="K97" s="65"/>
      <c r="L97" s="66" t="n">
        <v>2</v>
      </c>
      <c r="M97" s="81" t="s">
        <v>418</v>
      </c>
    </row>
    <row r="98" customFormat="false" ht="18" hidden="false" customHeight="true" outlineLevel="0" collapsed="false">
      <c r="A98" s="67"/>
      <c r="B98" s="68" t="s">
        <v>449</v>
      </c>
      <c r="C98" s="69" t="s">
        <v>450</v>
      </c>
      <c r="D98" s="70" t="s">
        <v>216</v>
      </c>
      <c r="E98" s="70" t="s">
        <v>216</v>
      </c>
      <c r="F98" s="75" t="s">
        <v>280</v>
      </c>
      <c r="G98" s="71" t="s">
        <v>224</v>
      </c>
      <c r="H98" s="71" t="s">
        <v>224</v>
      </c>
      <c r="I98" s="71" t="s">
        <v>224</v>
      </c>
      <c r="J98" s="71" t="s">
        <v>451</v>
      </c>
      <c r="K98" s="72" t="s">
        <v>452</v>
      </c>
      <c r="L98" s="73"/>
      <c r="M98" s="73"/>
    </row>
    <row r="99" customFormat="false" ht="18" hidden="false" customHeight="true" outlineLevel="0" collapsed="false">
      <c r="A99" s="67"/>
      <c r="B99" s="13" t="s">
        <v>453</v>
      </c>
      <c r="C99" s="74" t="s">
        <v>454</v>
      </c>
      <c r="D99" s="71" t="s">
        <v>224</v>
      </c>
      <c r="E99" s="71" t="s">
        <v>224</v>
      </c>
      <c r="F99" s="75" t="s">
        <v>455</v>
      </c>
      <c r="G99" s="71" t="s">
        <v>455</v>
      </c>
      <c r="H99" s="71" t="s">
        <v>455</v>
      </c>
      <c r="I99" s="70" t="s">
        <v>216</v>
      </c>
      <c r="J99" s="70" t="s">
        <v>216</v>
      </c>
      <c r="K99" s="76" t="s">
        <v>456</v>
      </c>
      <c r="L99" s="77"/>
      <c r="M99" s="77"/>
    </row>
    <row r="100" customFormat="false" ht="6" hidden="false" customHeight="true" outlineLevel="0" collapsed="false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</row>
    <row r="101" customFormat="false" ht="19.5" hidden="false" customHeight="true" outlineLevel="0" collapsed="false">
      <c r="A101" s="82" t="n">
        <v>19</v>
      </c>
      <c r="B101" s="83" t="s">
        <v>75</v>
      </c>
      <c r="C101" s="83"/>
      <c r="D101" s="84" t="s">
        <v>457</v>
      </c>
      <c r="E101" s="84" t="s">
        <v>457</v>
      </c>
      <c r="F101" s="84" t="s">
        <v>457</v>
      </c>
      <c r="G101" s="84" t="s">
        <v>457</v>
      </c>
      <c r="H101" s="84" t="s">
        <v>457</v>
      </c>
      <c r="I101" s="84" t="s">
        <v>457</v>
      </c>
      <c r="J101" s="84" t="s">
        <v>457</v>
      </c>
      <c r="K101" s="84" t="s">
        <v>457</v>
      </c>
      <c r="L101" s="84" t="s">
        <v>457</v>
      </c>
      <c r="M101" s="84" t="s">
        <v>457</v>
      </c>
    </row>
    <row r="102" customFormat="false" ht="21.75" hidden="false" customHeight="true" outlineLevel="0" collapsed="false">
      <c r="A102" s="62" t="n">
        <v>20</v>
      </c>
      <c r="B102" s="63" t="s">
        <v>458</v>
      </c>
      <c r="C102" s="63"/>
      <c r="D102" s="64" t="s">
        <v>210</v>
      </c>
      <c r="E102" s="64" t="s">
        <v>210</v>
      </c>
      <c r="F102" s="64" t="s">
        <v>210</v>
      </c>
      <c r="G102" s="64" t="s">
        <v>210</v>
      </c>
      <c r="H102" s="64" t="s">
        <v>210</v>
      </c>
      <c r="I102" s="64" t="s">
        <v>210</v>
      </c>
      <c r="J102" s="80" t="s">
        <v>262</v>
      </c>
      <c r="K102" s="65"/>
      <c r="L102" s="66" t="n">
        <v>3</v>
      </c>
      <c r="M102" s="81" t="s">
        <v>263</v>
      </c>
    </row>
    <row r="103" customFormat="false" ht="18" hidden="false" customHeight="true" outlineLevel="0" collapsed="false">
      <c r="A103" s="67"/>
      <c r="B103" s="68" t="s">
        <v>459</v>
      </c>
      <c r="C103" s="69" t="s">
        <v>460</v>
      </c>
      <c r="D103" s="71" t="s">
        <v>461</v>
      </c>
      <c r="E103" s="71" t="s">
        <v>461</v>
      </c>
      <c r="F103" s="75" t="s">
        <v>462</v>
      </c>
      <c r="G103" s="70" t="s">
        <v>216</v>
      </c>
      <c r="H103" s="70" t="s">
        <v>216</v>
      </c>
      <c r="I103" s="71" t="s">
        <v>462</v>
      </c>
      <c r="J103" s="70" t="s">
        <v>216</v>
      </c>
      <c r="K103" s="72" t="s">
        <v>463</v>
      </c>
      <c r="L103" s="73"/>
      <c r="M103" s="73"/>
    </row>
    <row r="104" customFormat="false" ht="18" hidden="false" customHeight="true" outlineLevel="0" collapsed="false">
      <c r="A104" s="67"/>
      <c r="B104" s="13" t="s">
        <v>464</v>
      </c>
      <c r="C104" s="74" t="s">
        <v>465</v>
      </c>
      <c r="D104" s="71" t="s">
        <v>326</v>
      </c>
      <c r="E104" s="71" t="s">
        <v>326</v>
      </c>
      <c r="F104" s="75" t="s">
        <v>326</v>
      </c>
      <c r="G104" s="71" t="s">
        <v>326</v>
      </c>
      <c r="H104" s="71" t="s">
        <v>326</v>
      </c>
      <c r="I104" s="70" t="s">
        <v>216</v>
      </c>
      <c r="J104" s="70" t="s">
        <v>216</v>
      </c>
      <c r="K104" s="76" t="s">
        <v>466</v>
      </c>
      <c r="L104" s="77"/>
      <c r="M104" s="77"/>
    </row>
    <row r="105" customFormat="false" ht="18" hidden="false" customHeight="true" outlineLevel="0" collapsed="false">
      <c r="A105" s="67"/>
      <c r="B105" s="68" t="s">
        <v>467</v>
      </c>
      <c r="C105" s="69" t="s">
        <v>468</v>
      </c>
      <c r="D105" s="70" t="s">
        <v>216</v>
      </c>
      <c r="E105" s="70" t="s">
        <v>216</v>
      </c>
      <c r="F105" s="70" t="s">
        <v>216</v>
      </c>
      <c r="G105" s="71" t="s">
        <v>469</v>
      </c>
      <c r="H105" s="71" t="s">
        <v>470</v>
      </c>
      <c r="I105" s="71" t="s">
        <v>470</v>
      </c>
      <c r="J105" s="71" t="s">
        <v>471</v>
      </c>
      <c r="K105" s="72" t="s">
        <v>472</v>
      </c>
      <c r="L105" s="73"/>
      <c r="M105" s="73"/>
    </row>
    <row r="106" customFormat="false" ht="6" hidden="false" customHeight="true" outlineLevel="0" collapsed="false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</row>
    <row r="107" customFormat="false" ht="19.5" hidden="false" customHeight="true" outlineLevel="0" collapsed="false">
      <c r="A107" s="82" t="n">
        <v>21</v>
      </c>
      <c r="B107" s="83" t="s">
        <v>79</v>
      </c>
      <c r="C107" s="83"/>
      <c r="D107" s="84" t="s">
        <v>457</v>
      </c>
      <c r="E107" s="84" t="s">
        <v>457</v>
      </c>
      <c r="F107" s="84" t="s">
        <v>457</v>
      </c>
      <c r="G107" s="84" t="s">
        <v>457</v>
      </c>
      <c r="H107" s="84" t="s">
        <v>457</v>
      </c>
      <c r="I107" s="84" t="s">
        <v>457</v>
      </c>
      <c r="J107" s="84" t="s">
        <v>457</v>
      </c>
      <c r="K107" s="84" t="s">
        <v>457</v>
      </c>
      <c r="L107" s="84" t="s">
        <v>457</v>
      </c>
      <c r="M107" s="84" t="s">
        <v>457</v>
      </c>
    </row>
    <row r="108" customFormat="false" ht="21.75" hidden="false" customHeight="true" outlineLevel="0" collapsed="false">
      <c r="A108" s="62" t="n">
        <v>22</v>
      </c>
      <c r="B108" s="63" t="s">
        <v>473</v>
      </c>
      <c r="C108" s="63"/>
      <c r="D108" s="80" t="s">
        <v>262</v>
      </c>
      <c r="E108" s="80" t="s">
        <v>262</v>
      </c>
      <c r="F108" s="80" t="s">
        <v>262</v>
      </c>
      <c r="G108" s="80" t="s">
        <v>262</v>
      </c>
      <c r="H108" s="64" t="s">
        <v>210</v>
      </c>
      <c r="I108" s="80" t="s">
        <v>262</v>
      </c>
      <c r="J108" s="80" t="s">
        <v>262</v>
      </c>
      <c r="K108" s="65"/>
      <c r="L108" s="66" t="n">
        <v>2</v>
      </c>
      <c r="M108" s="81" t="s">
        <v>474</v>
      </c>
    </row>
    <row r="109" customFormat="false" ht="18" hidden="false" customHeight="true" outlineLevel="0" collapsed="false">
      <c r="A109" s="67"/>
      <c r="B109" s="68" t="s">
        <v>475</v>
      </c>
      <c r="C109" s="69" t="s">
        <v>476</v>
      </c>
      <c r="D109" s="70" t="s">
        <v>216</v>
      </c>
      <c r="E109" s="70" t="s">
        <v>216</v>
      </c>
      <c r="F109" s="70" t="s">
        <v>216</v>
      </c>
      <c r="G109" s="70" t="s">
        <v>216</v>
      </c>
      <c r="H109" s="71" t="s">
        <v>224</v>
      </c>
      <c r="I109" s="71" t="s">
        <v>224</v>
      </c>
      <c r="J109" s="71" t="s">
        <v>270</v>
      </c>
      <c r="K109" s="72" t="s">
        <v>477</v>
      </c>
      <c r="L109" s="73"/>
      <c r="M109" s="73"/>
    </row>
    <row r="110" customFormat="false" ht="18" hidden="false" customHeight="true" outlineLevel="0" collapsed="false">
      <c r="A110" s="67"/>
      <c r="B110" s="13" t="s">
        <v>478</v>
      </c>
      <c r="C110" s="74" t="s">
        <v>479</v>
      </c>
      <c r="D110" s="71" t="s">
        <v>224</v>
      </c>
      <c r="E110" s="71" t="s">
        <v>224</v>
      </c>
      <c r="F110" s="75" t="s">
        <v>224</v>
      </c>
      <c r="G110" s="71" t="s">
        <v>224</v>
      </c>
      <c r="H110" s="71" t="s">
        <v>224</v>
      </c>
      <c r="I110" s="70" t="s">
        <v>216</v>
      </c>
      <c r="J110" s="70" t="s">
        <v>216</v>
      </c>
      <c r="K110" s="76" t="s">
        <v>480</v>
      </c>
      <c r="L110" s="77"/>
      <c r="M110" s="77"/>
    </row>
    <row r="111" customFormat="false" ht="6" hidden="false" customHeight="true" outlineLevel="0" collapsed="false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</row>
    <row r="112" customFormat="false" ht="21.75" hidden="false" customHeight="true" outlineLevel="0" collapsed="false">
      <c r="A112" s="62" t="n">
        <v>23</v>
      </c>
      <c r="B112" s="63" t="s">
        <v>481</v>
      </c>
      <c r="C112" s="63"/>
      <c r="D112" s="80" t="s">
        <v>262</v>
      </c>
      <c r="E112" s="64" t="s">
        <v>210</v>
      </c>
      <c r="F112" s="80" t="s">
        <v>262</v>
      </c>
      <c r="G112" s="64" t="s">
        <v>210</v>
      </c>
      <c r="H112" s="64" t="s">
        <v>210</v>
      </c>
      <c r="I112" s="80" t="s">
        <v>262</v>
      </c>
      <c r="J112" s="79" t="s">
        <v>238</v>
      </c>
      <c r="K112" s="65"/>
      <c r="L112" s="66" t="n">
        <v>2</v>
      </c>
      <c r="M112" s="79" t="s">
        <v>482</v>
      </c>
    </row>
    <row r="113" customFormat="false" ht="18" hidden="false" customHeight="true" outlineLevel="0" collapsed="false">
      <c r="A113" s="67"/>
      <c r="B113" s="68" t="s">
        <v>483</v>
      </c>
      <c r="C113" s="69" t="s">
        <v>484</v>
      </c>
      <c r="D113" s="70" t="s">
        <v>216</v>
      </c>
      <c r="E113" s="71" t="s">
        <v>226</v>
      </c>
      <c r="F113" s="75" t="s">
        <v>224</v>
      </c>
      <c r="G113" s="71" t="s">
        <v>266</v>
      </c>
      <c r="H113" s="71" t="s">
        <v>224</v>
      </c>
      <c r="I113" s="71" t="s">
        <v>224</v>
      </c>
      <c r="J113" s="70" t="s">
        <v>216</v>
      </c>
      <c r="K113" s="72" t="s">
        <v>485</v>
      </c>
      <c r="L113" s="73"/>
      <c r="M113" s="73"/>
    </row>
    <row r="114" customFormat="false" ht="18" hidden="false" customHeight="true" outlineLevel="0" collapsed="false">
      <c r="A114" s="67"/>
      <c r="B114" s="13" t="s">
        <v>385</v>
      </c>
      <c r="C114" s="74" t="s">
        <v>386</v>
      </c>
      <c r="D114" s="71" t="s">
        <v>224</v>
      </c>
      <c r="E114" s="71" t="s">
        <v>224</v>
      </c>
      <c r="F114" s="70" t="s">
        <v>216</v>
      </c>
      <c r="G114" s="71" t="s">
        <v>317</v>
      </c>
      <c r="H114" s="71" t="s">
        <v>266</v>
      </c>
      <c r="I114" s="70" t="s">
        <v>216</v>
      </c>
      <c r="J114" s="70" t="s">
        <v>216</v>
      </c>
      <c r="K114" s="76" t="s">
        <v>486</v>
      </c>
      <c r="L114" s="77"/>
      <c r="M114" s="77"/>
    </row>
    <row r="115" customFormat="false" ht="6" hidden="false" customHeight="true" outlineLevel="0" collapsed="false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</row>
    <row r="116" customFormat="false" ht="21.75" hidden="false" customHeight="true" outlineLevel="0" collapsed="false">
      <c r="A116" s="62" t="n">
        <v>24</v>
      </c>
      <c r="B116" s="63" t="s">
        <v>487</v>
      </c>
      <c r="C116" s="63"/>
      <c r="D116" s="64" t="s">
        <v>210</v>
      </c>
      <c r="E116" s="64" t="s">
        <v>210</v>
      </c>
      <c r="F116" s="64" t="s">
        <v>210</v>
      </c>
      <c r="G116" s="64" t="s">
        <v>210</v>
      </c>
      <c r="H116" s="64" t="s">
        <v>210</v>
      </c>
      <c r="I116" s="80" t="s">
        <v>262</v>
      </c>
      <c r="J116" s="80" t="s">
        <v>262</v>
      </c>
      <c r="K116" s="65"/>
      <c r="L116" s="66" t="n">
        <v>4</v>
      </c>
      <c r="M116" s="81" t="s">
        <v>395</v>
      </c>
    </row>
    <row r="117" customFormat="false" ht="18" hidden="false" customHeight="true" outlineLevel="0" collapsed="false">
      <c r="A117" s="67"/>
      <c r="B117" s="68" t="s">
        <v>306</v>
      </c>
      <c r="C117" s="69" t="s">
        <v>307</v>
      </c>
      <c r="D117" s="70" t="s">
        <v>216</v>
      </c>
      <c r="E117" s="71" t="s">
        <v>488</v>
      </c>
      <c r="F117" s="70" t="s">
        <v>216</v>
      </c>
      <c r="G117" s="71" t="s">
        <v>488</v>
      </c>
      <c r="H117" s="71" t="s">
        <v>488</v>
      </c>
      <c r="I117" s="70" t="s">
        <v>216</v>
      </c>
      <c r="J117" s="70" t="s">
        <v>216</v>
      </c>
      <c r="K117" s="72" t="s">
        <v>489</v>
      </c>
      <c r="L117" s="73"/>
      <c r="M117" s="73"/>
    </row>
    <row r="118" customFormat="false" ht="18" hidden="false" customHeight="true" outlineLevel="0" collapsed="false">
      <c r="A118" s="67"/>
      <c r="B118" s="13" t="s">
        <v>490</v>
      </c>
      <c r="C118" s="74" t="s">
        <v>491</v>
      </c>
      <c r="D118" s="71" t="s">
        <v>325</v>
      </c>
      <c r="E118" s="70" t="s">
        <v>216</v>
      </c>
      <c r="F118" s="75" t="s">
        <v>311</v>
      </c>
      <c r="G118" s="71" t="s">
        <v>441</v>
      </c>
      <c r="H118" s="71" t="s">
        <v>311</v>
      </c>
      <c r="I118" s="70" t="s">
        <v>216</v>
      </c>
      <c r="J118" s="71" t="s">
        <v>492</v>
      </c>
      <c r="K118" s="76" t="s">
        <v>327</v>
      </c>
      <c r="L118" s="77"/>
      <c r="M118" s="77"/>
    </row>
    <row r="119" customFormat="false" ht="18" hidden="false" customHeight="true" outlineLevel="0" collapsed="false">
      <c r="A119" s="67"/>
      <c r="B119" s="68" t="s">
        <v>309</v>
      </c>
      <c r="C119" s="69" t="s">
        <v>310</v>
      </c>
      <c r="D119" s="71" t="s">
        <v>432</v>
      </c>
      <c r="E119" s="71" t="s">
        <v>311</v>
      </c>
      <c r="F119" s="70" t="s">
        <v>216</v>
      </c>
      <c r="G119" s="70" t="s">
        <v>216</v>
      </c>
      <c r="H119" s="70" t="s">
        <v>216</v>
      </c>
      <c r="I119" s="70" t="s">
        <v>216</v>
      </c>
      <c r="J119" s="70" t="s">
        <v>216</v>
      </c>
      <c r="K119" s="72" t="s">
        <v>256</v>
      </c>
      <c r="L119" s="73"/>
      <c r="M119" s="73"/>
    </row>
    <row r="120" customFormat="false" ht="18" hidden="false" customHeight="true" outlineLevel="0" collapsed="false">
      <c r="A120" s="67"/>
      <c r="B120" s="13" t="s">
        <v>315</v>
      </c>
      <c r="C120" s="74" t="s">
        <v>316</v>
      </c>
      <c r="D120" s="70" t="s">
        <v>216</v>
      </c>
      <c r="E120" s="70" t="s">
        <v>216</v>
      </c>
      <c r="F120" s="75" t="s">
        <v>312</v>
      </c>
      <c r="G120" s="70" t="s">
        <v>216</v>
      </c>
      <c r="H120" s="70" t="s">
        <v>216</v>
      </c>
      <c r="I120" s="71" t="s">
        <v>441</v>
      </c>
      <c r="J120" s="70" t="s">
        <v>216</v>
      </c>
      <c r="K120" s="76" t="s">
        <v>493</v>
      </c>
      <c r="L120" s="77"/>
      <c r="M120" s="77"/>
    </row>
    <row r="121" customFormat="false" ht="6" hidden="false" customHeight="true" outlineLevel="0" collapsed="false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</row>
    <row r="122" customFormat="false" ht="21.75" hidden="false" customHeight="true" outlineLevel="0" collapsed="false">
      <c r="A122" s="62" t="n">
        <v>25</v>
      </c>
      <c r="B122" s="63" t="s">
        <v>494</v>
      </c>
      <c r="C122" s="63"/>
      <c r="D122" s="64" t="s">
        <v>210</v>
      </c>
      <c r="E122" s="80" t="s">
        <v>262</v>
      </c>
      <c r="F122" s="80" t="s">
        <v>262</v>
      </c>
      <c r="G122" s="80" t="s">
        <v>262</v>
      </c>
      <c r="H122" s="64" t="s">
        <v>210</v>
      </c>
      <c r="I122" s="80" t="s">
        <v>262</v>
      </c>
      <c r="J122" s="80" t="s">
        <v>262</v>
      </c>
      <c r="K122" s="65"/>
      <c r="L122" s="66" t="n">
        <v>3</v>
      </c>
      <c r="M122" s="81" t="s">
        <v>495</v>
      </c>
    </row>
    <row r="123" customFormat="false" ht="18" hidden="false" customHeight="true" outlineLevel="0" collapsed="false">
      <c r="A123" s="67"/>
      <c r="B123" s="68" t="s">
        <v>329</v>
      </c>
      <c r="C123" s="69" t="s">
        <v>330</v>
      </c>
      <c r="D123" s="71" t="s">
        <v>235</v>
      </c>
      <c r="E123" s="70" t="s">
        <v>216</v>
      </c>
      <c r="F123" s="70" t="s">
        <v>216</v>
      </c>
      <c r="G123" s="71" t="s">
        <v>317</v>
      </c>
      <c r="H123" s="70" t="s">
        <v>216</v>
      </c>
      <c r="I123" s="70" t="s">
        <v>216</v>
      </c>
      <c r="J123" s="70" t="s">
        <v>216</v>
      </c>
      <c r="K123" s="72" t="s">
        <v>322</v>
      </c>
      <c r="L123" s="73"/>
      <c r="M123" s="73"/>
    </row>
    <row r="124" customFormat="false" ht="18" hidden="false" customHeight="true" outlineLevel="0" collapsed="false">
      <c r="A124" s="67"/>
      <c r="B124" s="13" t="s">
        <v>496</v>
      </c>
      <c r="C124" s="74" t="s">
        <v>497</v>
      </c>
      <c r="D124" s="71" t="s">
        <v>317</v>
      </c>
      <c r="E124" s="71" t="s">
        <v>317</v>
      </c>
      <c r="F124" s="75" t="s">
        <v>317</v>
      </c>
      <c r="G124" s="70" t="s">
        <v>216</v>
      </c>
      <c r="H124" s="71" t="s">
        <v>317</v>
      </c>
      <c r="I124" s="70" t="s">
        <v>216</v>
      </c>
      <c r="J124" s="71" t="s">
        <v>270</v>
      </c>
      <c r="K124" s="76" t="s">
        <v>452</v>
      </c>
      <c r="L124" s="77"/>
      <c r="M124" s="77"/>
    </row>
    <row r="125" customFormat="false" ht="18" hidden="false" customHeight="true" outlineLevel="0" collapsed="false">
      <c r="A125" s="67"/>
      <c r="B125" s="68" t="s">
        <v>364</v>
      </c>
      <c r="C125" s="69" t="s">
        <v>365</v>
      </c>
      <c r="D125" s="70" t="s">
        <v>216</v>
      </c>
      <c r="E125" s="70" t="s">
        <v>216</v>
      </c>
      <c r="F125" s="70" t="s">
        <v>216</v>
      </c>
      <c r="G125" s="70" t="s">
        <v>216</v>
      </c>
      <c r="H125" s="71" t="s">
        <v>225</v>
      </c>
      <c r="I125" s="71" t="s">
        <v>224</v>
      </c>
      <c r="J125" s="70" t="s">
        <v>216</v>
      </c>
      <c r="K125" s="72" t="s">
        <v>498</v>
      </c>
      <c r="L125" s="73"/>
      <c r="M125" s="73"/>
    </row>
    <row r="126" customFormat="false" ht="6" hidden="false" customHeight="true" outlineLevel="0" collapsed="false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</row>
    <row r="127" customFormat="false" ht="21.75" hidden="false" customHeight="true" outlineLevel="0" collapsed="false">
      <c r="A127" s="62" t="n">
        <v>26</v>
      </c>
      <c r="B127" s="63" t="s">
        <v>499</v>
      </c>
      <c r="C127" s="63"/>
      <c r="D127" s="80" t="s">
        <v>262</v>
      </c>
      <c r="E127" s="80" t="s">
        <v>262</v>
      </c>
      <c r="F127" s="80" t="s">
        <v>262</v>
      </c>
      <c r="G127" s="80" t="s">
        <v>262</v>
      </c>
      <c r="H127" s="80" t="s">
        <v>262</v>
      </c>
      <c r="I127" s="80" t="s">
        <v>262</v>
      </c>
      <c r="J127" s="79" t="s">
        <v>238</v>
      </c>
      <c r="K127" s="65"/>
      <c r="L127" s="66" t="n">
        <v>2</v>
      </c>
      <c r="M127" s="79" t="s">
        <v>500</v>
      </c>
    </row>
    <row r="128" customFormat="false" ht="18" hidden="false" customHeight="true" outlineLevel="0" collapsed="false">
      <c r="A128" s="67"/>
      <c r="B128" s="68" t="s">
        <v>475</v>
      </c>
      <c r="C128" s="69" t="s">
        <v>476</v>
      </c>
      <c r="D128" s="70" t="s">
        <v>216</v>
      </c>
      <c r="E128" s="70" t="s">
        <v>216</v>
      </c>
      <c r="F128" s="75" t="s">
        <v>224</v>
      </c>
      <c r="G128" s="71" t="s">
        <v>224</v>
      </c>
      <c r="H128" s="70" t="s">
        <v>216</v>
      </c>
      <c r="I128" s="70" t="s">
        <v>216</v>
      </c>
      <c r="J128" s="70" t="s">
        <v>216</v>
      </c>
      <c r="K128" s="72" t="s">
        <v>393</v>
      </c>
      <c r="L128" s="73"/>
      <c r="M128" s="73"/>
    </row>
    <row r="129" customFormat="false" ht="18" hidden="false" customHeight="true" outlineLevel="0" collapsed="false">
      <c r="A129" s="67"/>
      <c r="B129" s="13" t="s">
        <v>501</v>
      </c>
      <c r="C129" s="74" t="s">
        <v>502</v>
      </c>
      <c r="D129" s="71" t="s">
        <v>224</v>
      </c>
      <c r="E129" s="71" t="s">
        <v>224</v>
      </c>
      <c r="F129" s="70" t="s">
        <v>216</v>
      </c>
      <c r="G129" s="70" t="s">
        <v>216</v>
      </c>
      <c r="H129" s="71" t="s">
        <v>224</v>
      </c>
      <c r="I129" s="71" t="s">
        <v>224</v>
      </c>
      <c r="J129" s="70" t="s">
        <v>216</v>
      </c>
      <c r="K129" s="76" t="s">
        <v>503</v>
      </c>
      <c r="L129" s="77"/>
      <c r="M129" s="77"/>
    </row>
    <row r="130" customFormat="false" ht="6" hidden="false" customHeight="true" outlineLevel="0" collapsed="false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</row>
    <row r="131" customFormat="false" ht="21.75" hidden="false" customHeight="true" outlineLevel="0" collapsed="false">
      <c r="A131" s="62" t="n">
        <v>27</v>
      </c>
      <c r="B131" s="63" t="s">
        <v>504</v>
      </c>
      <c r="C131" s="63"/>
      <c r="D131" s="64" t="s">
        <v>210</v>
      </c>
      <c r="E131" s="64" t="s">
        <v>211</v>
      </c>
      <c r="F131" s="64" t="s">
        <v>211</v>
      </c>
      <c r="G131" s="64" t="s">
        <v>210</v>
      </c>
      <c r="H131" s="64" t="s">
        <v>211</v>
      </c>
      <c r="I131" s="80" t="s">
        <v>262</v>
      </c>
      <c r="J131" s="80" t="s">
        <v>262</v>
      </c>
      <c r="K131" s="65"/>
      <c r="L131" s="66" t="n">
        <v>3</v>
      </c>
      <c r="M131" s="81" t="s">
        <v>395</v>
      </c>
    </row>
    <row r="132" customFormat="false" ht="18" hidden="false" customHeight="true" outlineLevel="0" collapsed="false">
      <c r="A132" s="67"/>
      <c r="B132" s="68" t="s">
        <v>401</v>
      </c>
      <c r="C132" s="69" t="s">
        <v>402</v>
      </c>
      <c r="D132" s="71" t="s">
        <v>317</v>
      </c>
      <c r="E132" s="71" t="s">
        <v>505</v>
      </c>
      <c r="F132" s="75" t="s">
        <v>352</v>
      </c>
      <c r="G132" s="71" t="s">
        <v>317</v>
      </c>
      <c r="H132" s="71" t="s">
        <v>313</v>
      </c>
      <c r="I132" s="70" t="s">
        <v>216</v>
      </c>
      <c r="J132" s="70" t="s">
        <v>216</v>
      </c>
      <c r="K132" s="72" t="s">
        <v>506</v>
      </c>
      <c r="L132" s="73"/>
      <c r="M132" s="73"/>
    </row>
    <row r="133" customFormat="false" ht="18" hidden="false" customHeight="true" outlineLevel="0" collapsed="false">
      <c r="A133" s="67"/>
      <c r="B133" s="13" t="s">
        <v>507</v>
      </c>
      <c r="C133" s="74" t="s">
        <v>508</v>
      </c>
      <c r="D133" s="71" t="s">
        <v>311</v>
      </c>
      <c r="E133" s="71" t="s">
        <v>311</v>
      </c>
      <c r="F133" s="75" t="s">
        <v>311</v>
      </c>
      <c r="G133" s="71" t="s">
        <v>311</v>
      </c>
      <c r="H133" s="71" t="s">
        <v>311</v>
      </c>
      <c r="I133" s="70" t="s">
        <v>216</v>
      </c>
      <c r="J133" s="70" t="s">
        <v>216</v>
      </c>
      <c r="K133" s="76" t="s">
        <v>429</v>
      </c>
      <c r="L133" s="77"/>
      <c r="M133" s="77"/>
    </row>
    <row r="134" customFormat="false" ht="18" hidden="false" customHeight="true" outlineLevel="0" collapsed="false">
      <c r="A134" s="67"/>
      <c r="B134" s="68" t="s">
        <v>509</v>
      </c>
      <c r="C134" s="69" t="s">
        <v>510</v>
      </c>
      <c r="D134" s="70" t="s">
        <v>216</v>
      </c>
      <c r="E134" s="71" t="s">
        <v>266</v>
      </c>
      <c r="F134" s="75" t="s">
        <v>511</v>
      </c>
      <c r="G134" s="70" t="s">
        <v>216</v>
      </c>
      <c r="H134" s="71" t="s">
        <v>512</v>
      </c>
      <c r="I134" s="71" t="s">
        <v>224</v>
      </c>
      <c r="J134" s="71" t="s">
        <v>332</v>
      </c>
      <c r="K134" s="72" t="s">
        <v>513</v>
      </c>
      <c r="L134" s="73"/>
      <c r="M134" s="73"/>
    </row>
    <row r="135" customFormat="false" ht="6" hidden="false" customHeight="true" outlineLevel="0" collapsed="false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</row>
    <row r="136" customFormat="false" ht="21.75" hidden="false" customHeight="true" outlineLevel="0" collapsed="false">
      <c r="A136" s="62" t="n">
        <v>28</v>
      </c>
      <c r="B136" s="63" t="s">
        <v>514</v>
      </c>
      <c r="C136" s="63"/>
      <c r="D136" s="64" t="s">
        <v>210</v>
      </c>
      <c r="E136" s="80" t="s">
        <v>262</v>
      </c>
      <c r="F136" s="64" t="s">
        <v>210</v>
      </c>
      <c r="G136" s="64" t="s">
        <v>210</v>
      </c>
      <c r="H136" s="64" t="s">
        <v>210</v>
      </c>
      <c r="I136" s="64" t="s">
        <v>210</v>
      </c>
      <c r="J136" s="80" t="s">
        <v>262</v>
      </c>
      <c r="K136" s="65"/>
      <c r="L136" s="66" t="n">
        <v>3</v>
      </c>
      <c r="M136" s="81" t="s">
        <v>395</v>
      </c>
    </row>
    <row r="137" customFormat="false" ht="18" hidden="false" customHeight="true" outlineLevel="0" collapsed="false">
      <c r="A137" s="67"/>
      <c r="B137" s="68" t="s">
        <v>515</v>
      </c>
      <c r="C137" s="69" t="s">
        <v>516</v>
      </c>
      <c r="D137" s="71" t="s">
        <v>517</v>
      </c>
      <c r="E137" s="70" t="s">
        <v>216</v>
      </c>
      <c r="F137" s="70" t="s">
        <v>216</v>
      </c>
      <c r="G137" s="71" t="s">
        <v>511</v>
      </c>
      <c r="H137" s="70" t="s">
        <v>216</v>
      </c>
      <c r="I137" s="71" t="s">
        <v>266</v>
      </c>
      <c r="J137" s="71" t="s">
        <v>270</v>
      </c>
      <c r="K137" s="72" t="s">
        <v>518</v>
      </c>
      <c r="L137" s="73"/>
      <c r="M137" s="73"/>
    </row>
    <row r="138" customFormat="false" ht="18" hidden="false" customHeight="true" outlineLevel="0" collapsed="false">
      <c r="A138" s="67"/>
      <c r="B138" s="13" t="s">
        <v>519</v>
      </c>
      <c r="C138" s="74" t="s">
        <v>520</v>
      </c>
      <c r="D138" s="70" t="s">
        <v>216</v>
      </c>
      <c r="E138" s="71" t="s">
        <v>317</v>
      </c>
      <c r="F138" s="75" t="s">
        <v>266</v>
      </c>
      <c r="G138" s="70" t="s">
        <v>216</v>
      </c>
      <c r="H138" s="71" t="s">
        <v>266</v>
      </c>
      <c r="I138" s="70" t="s">
        <v>216</v>
      </c>
      <c r="J138" s="70" t="s">
        <v>216</v>
      </c>
      <c r="K138" s="76" t="s">
        <v>521</v>
      </c>
      <c r="L138" s="77"/>
      <c r="M138" s="77"/>
    </row>
    <row r="139" customFormat="false" ht="18" hidden="false" customHeight="true" outlineLevel="0" collapsed="false">
      <c r="A139" s="67"/>
      <c r="B139" s="68" t="s">
        <v>522</v>
      </c>
      <c r="C139" s="69" t="s">
        <v>523</v>
      </c>
      <c r="D139" s="71" t="s">
        <v>244</v>
      </c>
      <c r="E139" s="70" t="s">
        <v>216</v>
      </c>
      <c r="F139" s="75" t="s">
        <v>524</v>
      </c>
      <c r="G139" s="71" t="s">
        <v>321</v>
      </c>
      <c r="H139" s="71" t="s">
        <v>524</v>
      </c>
      <c r="I139" s="71" t="s">
        <v>462</v>
      </c>
      <c r="J139" s="70" t="s">
        <v>216</v>
      </c>
      <c r="K139" s="72" t="s">
        <v>525</v>
      </c>
      <c r="L139" s="73"/>
      <c r="M139" s="73"/>
    </row>
    <row r="140" customFormat="false" ht="6" hidden="false" customHeight="true" outlineLevel="0" collapsed="false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</row>
    <row r="141" customFormat="false" ht="21.75" hidden="false" customHeight="true" outlineLevel="0" collapsed="false">
      <c r="A141" s="62" t="n">
        <v>29</v>
      </c>
      <c r="B141" s="63" t="s">
        <v>526</v>
      </c>
      <c r="C141" s="63"/>
      <c r="D141" s="80" t="s">
        <v>262</v>
      </c>
      <c r="E141" s="80" t="s">
        <v>262</v>
      </c>
      <c r="F141" s="80" t="s">
        <v>262</v>
      </c>
      <c r="G141" s="80" t="s">
        <v>262</v>
      </c>
      <c r="H141" s="80" t="s">
        <v>262</v>
      </c>
      <c r="I141" s="80" t="s">
        <v>262</v>
      </c>
      <c r="J141" s="80" t="s">
        <v>262</v>
      </c>
      <c r="K141" s="65"/>
      <c r="L141" s="66" t="n">
        <v>3</v>
      </c>
      <c r="M141" s="81" t="s">
        <v>389</v>
      </c>
    </row>
    <row r="142" customFormat="false" ht="18" hidden="false" customHeight="true" outlineLevel="0" collapsed="false">
      <c r="A142" s="67"/>
      <c r="B142" s="68" t="s">
        <v>341</v>
      </c>
      <c r="C142" s="69" t="s">
        <v>342</v>
      </c>
      <c r="D142" s="71" t="s">
        <v>317</v>
      </c>
      <c r="E142" s="71" t="s">
        <v>317</v>
      </c>
      <c r="F142" s="75" t="s">
        <v>317</v>
      </c>
      <c r="G142" s="70" t="s">
        <v>216</v>
      </c>
      <c r="H142" s="71" t="s">
        <v>317</v>
      </c>
      <c r="I142" s="71" t="s">
        <v>317</v>
      </c>
      <c r="J142" s="70" t="s">
        <v>216</v>
      </c>
      <c r="K142" s="72" t="s">
        <v>527</v>
      </c>
      <c r="L142" s="73"/>
      <c r="M142" s="73"/>
    </row>
    <row r="143" customFormat="false" ht="18" hidden="false" customHeight="true" outlineLevel="0" collapsed="false">
      <c r="A143" s="67"/>
      <c r="B143" s="13" t="s">
        <v>347</v>
      </c>
      <c r="C143" s="74" t="s">
        <v>348</v>
      </c>
      <c r="D143" s="70" t="s">
        <v>216</v>
      </c>
      <c r="E143" s="70" t="s">
        <v>216</v>
      </c>
      <c r="F143" s="70" t="s">
        <v>216</v>
      </c>
      <c r="G143" s="71" t="s">
        <v>317</v>
      </c>
      <c r="H143" s="70" t="s">
        <v>216</v>
      </c>
      <c r="I143" s="70" t="s">
        <v>216</v>
      </c>
      <c r="J143" s="70" t="s">
        <v>216</v>
      </c>
      <c r="K143" s="76" t="s">
        <v>528</v>
      </c>
      <c r="L143" s="77"/>
      <c r="M143" s="77"/>
    </row>
    <row r="144" customFormat="false" ht="18" hidden="false" customHeight="true" outlineLevel="0" collapsed="false">
      <c r="A144" s="67"/>
      <c r="B144" s="68" t="s">
        <v>350</v>
      </c>
      <c r="C144" s="69" t="s">
        <v>351</v>
      </c>
      <c r="D144" s="70" t="s">
        <v>216</v>
      </c>
      <c r="E144" s="70" t="s">
        <v>216</v>
      </c>
      <c r="F144" s="70" t="s">
        <v>216</v>
      </c>
      <c r="G144" s="70" t="s">
        <v>216</v>
      </c>
      <c r="H144" s="70" t="s">
        <v>216</v>
      </c>
      <c r="I144" s="70" t="s">
        <v>216</v>
      </c>
      <c r="J144" s="71" t="s">
        <v>270</v>
      </c>
      <c r="K144" s="72" t="s">
        <v>529</v>
      </c>
      <c r="L144" s="73"/>
      <c r="M144" s="73"/>
    </row>
    <row r="145" customFormat="false" ht="6" hidden="false" customHeight="true" outlineLevel="0" collapsed="false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</row>
    <row r="146" customFormat="false" ht="21.75" hidden="false" customHeight="true" outlineLevel="0" collapsed="false">
      <c r="A146" s="62" t="n">
        <v>30</v>
      </c>
      <c r="B146" s="63" t="s">
        <v>530</v>
      </c>
      <c r="C146" s="63"/>
      <c r="D146" s="80" t="s">
        <v>262</v>
      </c>
      <c r="E146" s="80" t="s">
        <v>262</v>
      </c>
      <c r="F146" s="80" t="s">
        <v>262</v>
      </c>
      <c r="G146" s="80" t="s">
        <v>262</v>
      </c>
      <c r="H146" s="80" t="s">
        <v>262</v>
      </c>
      <c r="I146" s="80" t="s">
        <v>262</v>
      </c>
      <c r="J146" s="80" t="s">
        <v>262</v>
      </c>
      <c r="K146" s="65"/>
      <c r="L146" s="66" t="n">
        <v>3</v>
      </c>
      <c r="M146" s="81" t="s">
        <v>389</v>
      </c>
    </row>
    <row r="147" customFormat="false" ht="18" hidden="false" customHeight="true" outlineLevel="0" collapsed="false">
      <c r="A147" s="67"/>
      <c r="B147" s="68" t="s">
        <v>246</v>
      </c>
      <c r="C147" s="69" t="s">
        <v>247</v>
      </c>
      <c r="D147" s="71" t="s">
        <v>224</v>
      </c>
      <c r="E147" s="70" t="s">
        <v>216</v>
      </c>
      <c r="F147" s="70" t="s">
        <v>216</v>
      </c>
      <c r="G147" s="70" t="s">
        <v>216</v>
      </c>
      <c r="H147" s="70" t="s">
        <v>216</v>
      </c>
      <c r="I147" s="70" t="s">
        <v>216</v>
      </c>
      <c r="J147" s="70" t="s">
        <v>216</v>
      </c>
      <c r="K147" s="72" t="s">
        <v>371</v>
      </c>
      <c r="L147" s="73"/>
      <c r="M147" s="73"/>
    </row>
    <row r="148" customFormat="false" ht="18" hidden="false" customHeight="true" outlineLevel="0" collapsed="false">
      <c r="A148" s="67"/>
      <c r="B148" s="13" t="s">
        <v>531</v>
      </c>
      <c r="C148" s="74" t="s">
        <v>532</v>
      </c>
      <c r="D148" s="70" t="s">
        <v>216</v>
      </c>
      <c r="E148" s="70" t="s">
        <v>216</v>
      </c>
      <c r="F148" s="75" t="s">
        <v>224</v>
      </c>
      <c r="G148" s="70" t="s">
        <v>216</v>
      </c>
      <c r="H148" s="70" t="s">
        <v>216</v>
      </c>
      <c r="I148" s="70" t="s">
        <v>216</v>
      </c>
      <c r="J148" s="71" t="s">
        <v>270</v>
      </c>
      <c r="K148" s="76" t="s">
        <v>533</v>
      </c>
      <c r="L148" s="77"/>
      <c r="M148" s="77"/>
    </row>
    <row r="149" customFormat="false" ht="18" hidden="false" customHeight="true" outlineLevel="0" collapsed="false">
      <c r="A149" s="67"/>
      <c r="B149" s="68" t="s">
        <v>257</v>
      </c>
      <c r="C149" s="69" t="s">
        <v>258</v>
      </c>
      <c r="D149" s="70" t="s">
        <v>216</v>
      </c>
      <c r="E149" s="71" t="s">
        <v>224</v>
      </c>
      <c r="F149" s="70" t="s">
        <v>216</v>
      </c>
      <c r="G149" s="71" t="s">
        <v>224</v>
      </c>
      <c r="H149" s="71" t="s">
        <v>317</v>
      </c>
      <c r="I149" s="71" t="s">
        <v>317</v>
      </c>
      <c r="J149" s="70" t="s">
        <v>216</v>
      </c>
      <c r="K149" s="72" t="s">
        <v>406</v>
      </c>
      <c r="L149" s="73"/>
      <c r="M149" s="73"/>
    </row>
    <row r="150" customFormat="false" ht="6" hidden="false" customHeight="true" outlineLevel="0" collapsed="false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</row>
    <row r="151" customFormat="false" ht="21.75" hidden="false" customHeight="true" outlineLevel="0" collapsed="false">
      <c r="A151" s="62" t="n">
        <v>31</v>
      </c>
      <c r="B151" s="63" t="s">
        <v>534</v>
      </c>
      <c r="C151" s="63"/>
      <c r="D151" s="64" t="s">
        <v>210</v>
      </c>
      <c r="E151" s="64" t="s">
        <v>210</v>
      </c>
      <c r="F151" s="64" t="s">
        <v>211</v>
      </c>
      <c r="G151" s="64" t="s">
        <v>211</v>
      </c>
      <c r="H151" s="64" t="s">
        <v>211</v>
      </c>
      <c r="I151" s="64" t="s">
        <v>210</v>
      </c>
      <c r="J151" s="80" t="s">
        <v>262</v>
      </c>
      <c r="K151" s="65"/>
      <c r="L151" s="66" t="n">
        <v>4</v>
      </c>
      <c r="M151" s="81" t="s">
        <v>263</v>
      </c>
    </row>
    <row r="152" customFormat="false" ht="18" hidden="false" customHeight="true" outlineLevel="0" collapsed="false">
      <c r="A152" s="67"/>
      <c r="B152" s="68" t="s">
        <v>535</v>
      </c>
      <c r="C152" s="69" t="s">
        <v>536</v>
      </c>
      <c r="D152" s="70" t="s">
        <v>216</v>
      </c>
      <c r="E152" s="70" t="s">
        <v>216</v>
      </c>
      <c r="F152" s="70" t="s">
        <v>216</v>
      </c>
      <c r="G152" s="71" t="s">
        <v>225</v>
      </c>
      <c r="H152" s="71" t="s">
        <v>225</v>
      </c>
      <c r="I152" s="71" t="s">
        <v>224</v>
      </c>
      <c r="J152" s="71" t="s">
        <v>270</v>
      </c>
      <c r="K152" s="72" t="s">
        <v>537</v>
      </c>
      <c r="L152" s="73"/>
      <c r="M152" s="73"/>
    </row>
    <row r="153" customFormat="false" ht="18" hidden="false" customHeight="true" outlineLevel="0" collapsed="false">
      <c r="A153" s="67"/>
      <c r="B153" s="13" t="s">
        <v>538</v>
      </c>
      <c r="C153" s="74" t="s">
        <v>539</v>
      </c>
      <c r="D153" s="71" t="s">
        <v>345</v>
      </c>
      <c r="E153" s="71" t="s">
        <v>224</v>
      </c>
      <c r="F153" s="75" t="s">
        <v>274</v>
      </c>
      <c r="G153" s="71" t="s">
        <v>462</v>
      </c>
      <c r="H153" s="71" t="s">
        <v>540</v>
      </c>
      <c r="I153" s="70" t="s">
        <v>216</v>
      </c>
      <c r="J153" s="70" t="s">
        <v>216</v>
      </c>
      <c r="K153" s="76" t="s">
        <v>541</v>
      </c>
      <c r="L153" s="77"/>
      <c r="M153" s="77"/>
    </row>
    <row r="154" customFormat="false" ht="18" hidden="false" customHeight="true" outlineLevel="0" collapsed="false">
      <c r="A154" s="67"/>
      <c r="B154" s="68" t="s">
        <v>542</v>
      </c>
      <c r="C154" s="69" t="s">
        <v>543</v>
      </c>
      <c r="D154" s="70" t="s">
        <v>216</v>
      </c>
      <c r="E154" s="71" t="s">
        <v>544</v>
      </c>
      <c r="F154" s="75" t="s">
        <v>512</v>
      </c>
      <c r="G154" s="71" t="s">
        <v>512</v>
      </c>
      <c r="H154" s="71" t="s">
        <v>544</v>
      </c>
      <c r="I154" s="71" t="s">
        <v>545</v>
      </c>
      <c r="J154" s="70" t="s">
        <v>216</v>
      </c>
      <c r="K154" s="72" t="s">
        <v>236</v>
      </c>
      <c r="L154" s="73"/>
      <c r="M154" s="73"/>
    </row>
    <row r="155" customFormat="false" ht="18" hidden="false" customHeight="true" outlineLevel="0" collapsed="false">
      <c r="A155" s="67"/>
      <c r="B155" s="13" t="s">
        <v>546</v>
      </c>
      <c r="C155" s="74" t="s">
        <v>547</v>
      </c>
      <c r="D155" s="71" t="s">
        <v>225</v>
      </c>
      <c r="E155" s="70" t="s">
        <v>216</v>
      </c>
      <c r="F155" s="75" t="s">
        <v>366</v>
      </c>
      <c r="G155" s="70" t="s">
        <v>216</v>
      </c>
      <c r="H155" s="70" t="s">
        <v>216</v>
      </c>
      <c r="I155" s="70" t="s">
        <v>216</v>
      </c>
      <c r="J155" s="70" t="s">
        <v>216</v>
      </c>
      <c r="K155" s="76" t="s">
        <v>548</v>
      </c>
      <c r="L155" s="77"/>
      <c r="M155" s="77"/>
    </row>
    <row r="156" customFormat="false" ht="6" hidden="false" customHeight="true" outlineLevel="0" collapsed="false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</row>
    <row r="157" customFormat="false" ht="21.75" hidden="false" customHeight="true" outlineLevel="0" collapsed="false">
      <c r="A157" s="62" t="n">
        <v>32</v>
      </c>
      <c r="B157" s="63" t="s">
        <v>549</v>
      </c>
      <c r="C157" s="63"/>
      <c r="D157" s="64" t="s">
        <v>210</v>
      </c>
      <c r="E157" s="64" t="s">
        <v>210</v>
      </c>
      <c r="F157" s="64" t="s">
        <v>211</v>
      </c>
      <c r="G157" s="64" t="s">
        <v>210</v>
      </c>
      <c r="H157" s="64" t="s">
        <v>210</v>
      </c>
      <c r="I157" s="80" t="s">
        <v>262</v>
      </c>
      <c r="J157" s="80" t="s">
        <v>262</v>
      </c>
      <c r="K157" s="65"/>
      <c r="L157" s="66" t="n">
        <v>5</v>
      </c>
      <c r="M157" s="81" t="s">
        <v>395</v>
      </c>
    </row>
    <row r="158" customFormat="false" ht="18" hidden="false" customHeight="true" outlineLevel="0" collapsed="false">
      <c r="A158" s="67"/>
      <c r="B158" s="68" t="s">
        <v>550</v>
      </c>
      <c r="C158" s="69" t="s">
        <v>551</v>
      </c>
      <c r="D158" s="70" t="s">
        <v>216</v>
      </c>
      <c r="E158" s="71" t="s">
        <v>266</v>
      </c>
      <c r="F158" s="75" t="s">
        <v>266</v>
      </c>
      <c r="G158" s="71" t="s">
        <v>266</v>
      </c>
      <c r="H158" s="71" t="s">
        <v>266</v>
      </c>
      <c r="I158" s="71" t="s">
        <v>224</v>
      </c>
      <c r="J158" s="70" t="s">
        <v>216</v>
      </c>
      <c r="K158" s="72" t="s">
        <v>552</v>
      </c>
      <c r="L158" s="73"/>
      <c r="M158" s="73"/>
    </row>
    <row r="159" customFormat="false" ht="18" hidden="false" customHeight="true" outlineLevel="0" collapsed="false">
      <c r="A159" s="67"/>
      <c r="B159" s="13" t="s">
        <v>251</v>
      </c>
      <c r="C159" s="74" t="s">
        <v>252</v>
      </c>
      <c r="D159" s="71" t="s">
        <v>266</v>
      </c>
      <c r="E159" s="70" t="s">
        <v>216</v>
      </c>
      <c r="F159" s="70" t="s">
        <v>216</v>
      </c>
      <c r="G159" s="70" t="s">
        <v>216</v>
      </c>
      <c r="H159" s="70" t="s">
        <v>216</v>
      </c>
      <c r="I159" s="70" t="s">
        <v>216</v>
      </c>
      <c r="J159" s="70" t="s">
        <v>216</v>
      </c>
      <c r="K159" s="76" t="s">
        <v>553</v>
      </c>
      <c r="L159" s="77"/>
      <c r="M159" s="77"/>
    </row>
    <row r="160" customFormat="false" ht="18" hidden="false" customHeight="true" outlineLevel="0" collapsed="false">
      <c r="A160" s="67"/>
      <c r="B160" s="68" t="s">
        <v>233</v>
      </c>
      <c r="C160" s="69" t="s">
        <v>234</v>
      </c>
      <c r="D160" s="70" t="s">
        <v>216</v>
      </c>
      <c r="E160" s="70" t="s">
        <v>216</v>
      </c>
      <c r="F160" s="70" t="s">
        <v>216</v>
      </c>
      <c r="G160" s="70" t="s">
        <v>216</v>
      </c>
      <c r="H160" s="70" t="s">
        <v>216</v>
      </c>
      <c r="I160" s="70" t="s">
        <v>216</v>
      </c>
      <c r="J160" s="71" t="s">
        <v>270</v>
      </c>
      <c r="K160" s="72" t="s">
        <v>529</v>
      </c>
      <c r="L160" s="73"/>
      <c r="M160" s="73"/>
    </row>
    <row r="161" customFormat="false" ht="18" hidden="false" customHeight="true" outlineLevel="0" collapsed="false">
      <c r="A161" s="67"/>
      <c r="B161" s="13" t="s">
        <v>522</v>
      </c>
      <c r="C161" s="74" t="s">
        <v>523</v>
      </c>
      <c r="D161" s="70" t="s">
        <v>216</v>
      </c>
      <c r="E161" s="70" t="s">
        <v>216</v>
      </c>
      <c r="F161" s="75" t="s">
        <v>511</v>
      </c>
      <c r="G161" s="70" t="s">
        <v>216</v>
      </c>
      <c r="H161" s="70" t="s">
        <v>216</v>
      </c>
      <c r="I161" s="70" t="s">
        <v>216</v>
      </c>
      <c r="J161" s="70" t="s">
        <v>216</v>
      </c>
      <c r="K161" s="76" t="s">
        <v>554</v>
      </c>
      <c r="L161" s="77"/>
      <c r="M161" s="77"/>
    </row>
    <row r="162" customFormat="false" ht="18" hidden="false" customHeight="true" outlineLevel="0" collapsed="false">
      <c r="A162" s="67"/>
      <c r="B162" s="68" t="s">
        <v>555</v>
      </c>
      <c r="C162" s="69" t="s">
        <v>556</v>
      </c>
      <c r="D162" s="71" t="s">
        <v>383</v>
      </c>
      <c r="E162" s="71" t="s">
        <v>383</v>
      </c>
      <c r="F162" s="75" t="s">
        <v>224</v>
      </c>
      <c r="G162" s="71" t="s">
        <v>244</v>
      </c>
      <c r="H162" s="71" t="s">
        <v>462</v>
      </c>
      <c r="I162" s="70" t="s">
        <v>216</v>
      </c>
      <c r="J162" s="70" t="s">
        <v>216</v>
      </c>
      <c r="K162" s="72" t="s">
        <v>557</v>
      </c>
      <c r="L162" s="73"/>
      <c r="M162" s="73"/>
    </row>
    <row r="163" customFormat="false" ht="6" hidden="false" customHeight="true" outlineLevel="0" collapsed="false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</row>
    <row r="164" customFormat="false" ht="21.75" hidden="false" customHeight="true" outlineLevel="0" collapsed="false">
      <c r="A164" s="62" t="n">
        <v>33</v>
      </c>
      <c r="B164" s="63" t="s">
        <v>558</v>
      </c>
      <c r="C164" s="63"/>
      <c r="D164" s="64" t="s">
        <v>210</v>
      </c>
      <c r="E164" s="64" t="s">
        <v>210</v>
      </c>
      <c r="F164" s="64" t="s">
        <v>210</v>
      </c>
      <c r="G164" s="64" t="s">
        <v>210</v>
      </c>
      <c r="H164" s="64" t="s">
        <v>210</v>
      </c>
      <c r="I164" s="64" t="s">
        <v>210</v>
      </c>
      <c r="J164" s="80" t="s">
        <v>262</v>
      </c>
      <c r="K164" s="65"/>
      <c r="L164" s="66" t="n">
        <v>3</v>
      </c>
      <c r="M164" s="81" t="s">
        <v>263</v>
      </c>
    </row>
    <row r="165" customFormat="false" ht="18" hidden="false" customHeight="true" outlineLevel="0" collapsed="false">
      <c r="A165" s="67"/>
      <c r="B165" s="68" t="s">
        <v>559</v>
      </c>
      <c r="C165" s="69" t="s">
        <v>560</v>
      </c>
      <c r="D165" s="71" t="s">
        <v>317</v>
      </c>
      <c r="E165" s="71" t="s">
        <v>561</v>
      </c>
      <c r="F165" s="75" t="s">
        <v>280</v>
      </c>
      <c r="G165" s="70" t="s">
        <v>216</v>
      </c>
      <c r="H165" s="71" t="s">
        <v>225</v>
      </c>
      <c r="I165" s="71" t="s">
        <v>225</v>
      </c>
      <c r="J165" s="70" t="s">
        <v>216</v>
      </c>
      <c r="K165" s="72" t="s">
        <v>562</v>
      </c>
      <c r="L165" s="73"/>
      <c r="M165" s="73"/>
    </row>
    <row r="166" customFormat="false" ht="18" hidden="false" customHeight="true" outlineLevel="0" collapsed="false">
      <c r="A166" s="67"/>
      <c r="B166" s="13" t="s">
        <v>358</v>
      </c>
      <c r="C166" s="74" t="s">
        <v>359</v>
      </c>
      <c r="D166" s="70" t="s">
        <v>216</v>
      </c>
      <c r="E166" s="71" t="s">
        <v>317</v>
      </c>
      <c r="F166" s="70" t="s">
        <v>216</v>
      </c>
      <c r="G166" s="71" t="s">
        <v>217</v>
      </c>
      <c r="H166" s="70" t="s">
        <v>216</v>
      </c>
      <c r="I166" s="71" t="s">
        <v>218</v>
      </c>
      <c r="J166" s="70" t="s">
        <v>216</v>
      </c>
      <c r="K166" s="76" t="s">
        <v>563</v>
      </c>
      <c r="L166" s="77"/>
      <c r="M166" s="77"/>
    </row>
    <row r="167" customFormat="false" ht="18" hidden="false" customHeight="true" outlineLevel="0" collapsed="false">
      <c r="A167" s="67"/>
      <c r="B167" s="68" t="s">
        <v>564</v>
      </c>
      <c r="C167" s="69" t="s">
        <v>565</v>
      </c>
      <c r="D167" s="71" t="s">
        <v>217</v>
      </c>
      <c r="E167" s="70" t="s">
        <v>216</v>
      </c>
      <c r="F167" s="75" t="s">
        <v>224</v>
      </c>
      <c r="G167" s="71" t="s">
        <v>224</v>
      </c>
      <c r="H167" s="71" t="s">
        <v>224</v>
      </c>
      <c r="I167" s="70" t="s">
        <v>216</v>
      </c>
      <c r="J167" s="71" t="s">
        <v>270</v>
      </c>
      <c r="K167" s="72" t="s">
        <v>566</v>
      </c>
      <c r="L167" s="73"/>
      <c r="M167" s="73"/>
    </row>
    <row r="168" customFormat="false" ht="6" hidden="false" customHeight="true" outlineLevel="0" collapsed="false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</row>
    <row r="169" customFormat="false" ht="19.5" hidden="false" customHeight="true" outlineLevel="0" collapsed="false">
      <c r="A169" s="82" t="n">
        <v>34</v>
      </c>
      <c r="B169" s="83" t="s">
        <v>104</v>
      </c>
      <c r="C169" s="83"/>
      <c r="D169" s="84" t="s">
        <v>457</v>
      </c>
      <c r="E169" s="84" t="s">
        <v>457</v>
      </c>
      <c r="F169" s="84" t="s">
        <v>457</v>
      </c>
      <c r="G169" s="84" t="s">
        <v>457</v>
      </c>
      <c r="H169" s="84" t="s">
        <v>457</v>
      </c>
      <c r="I169" s="84" t="s">
        <v>457</v>
      </c>
      <c r="J169" s="84" t="s">
        <v>457</v>
      </c>
      <c r="K169" s="84" t="s">
        <v>457</v>
      </c>
      <c r="L169" s="84" t="s">
        <v>457</v>
      </c>
      <c r="M169" s="84" t="s">
        <v>457</v>
      </c>
    </row>
  </sheetData>
  <mergeCells count="36">
    <mergeCell ref="A1:M1"/>
    <mergeCell ref="A2:M2"/>
    <mergeCell ref="B4:C4"/>
    <mergeCell ref="B10:C10"/>
    <mergeCell ref="B17:C17"/>
    <mergeCell ref="B22:C22"/>
    <mergeCell ref="B27:C27"/>
    <mergeCell ref="B33:C33"/>
    <mergeCell ref="B40:C40"/>
    <mergeCell ref="B45:C45"/>
    <mergeCell ref="B51:C51"/>
    <mergeCell ref="B57:C57"/>
    <mergeCell ref="B62:C62"/>
    <mergeCell ref="B67:C67"/>
    <mergeCell ref="B72:C72"/>
    <mergeCell ref="B78:C78"/>
    <mergeCell ref="B83:C83"/>
    <mergeCell ref="B87:C87"/>
    <mergeCell ref="B92:C92"/>
    <mergeCell ref="B97:C97"/>
    <mergeCell ref="B101:C101"/>
    <mergeCell ref="B102:C102"/>
    <mergeCell ref="B107:C107"/>
    <mergeCell ref="B108:C108"/>
    <mergeCell ref="B112:C112"/>
    <mergeCell ref="B116:C116"/>
    <mergeCell ref="B122:C122"/>
    <mergeCell ref="B127:C127"/>
    <mergeCell ref="B131:C131"/>
    <mergeCell ref="B136:C136"/>
    <mergeCell ref="B141:C141"/>
    <mergeCell ref="B146:C146"/>
    <mergeCell ref="B151:C151"/>
    <mergeCell ref="B157:C157"/>
    <mergeCell ref="B164:C164"/>
    <mergeCell ref="B169:C1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2026-03-28T23:22:35Z</dcterms:created>
  <dc:creator>openpyxl</dc:creator>
  <dc:description/>
  <dc:language>en-US</dc:language>
  <cp:lastModifiedBy/>
  <dcterms:modified xsi:type="dcterms:W3CDTF">2026-03-28T23:43:29Z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